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Z:\Educação Financeira\Semana ENEF 2017\Materiais finalizados\Materiais FTP - 2017\Planilha_de_Planejamento_Financeiro\"/>
    </mc:Choice>
  </mc:AlternateContent>
  <bookViews>
    <workbookView xWindow="0" yWindow="0" windowWidth="20490" windowHeight="7755"/>
  </bookViews>
  <sheets>
    <sheet name="Instruções" sheetId="5" r:id="rId1"/>
    <sheet name="Planejamento Financeiro" sheetId="1" r:id="rId2"/>
    <sheet name="Gráfico Despesas Realizadas" sheetId="4" r:id="rId3"/>
    <sheet name="Resumo Anual" sheetId="8" r:id="rId4"/>
  </sheets>
  <definedNames>
    <definedName name="_xlnm.Print_Area" localSheetId="0">Instruções!$E$4:$U$38</definedName>
    <definedName name="_xlnm.Print_Area" localSheetId="1">'Planejamento Financeiro'!$B$3:$R$37</definedName>
    <definedName name="_xlnm.Print_Area" localSheetId="3">'Resumo Anual'!$B$1:$E$35</definedName>
  </definedNames>
  <calcPr calcId="171027"/>
</workbook>
</file>

<file path=xl/calcChain.xml><?xml version="1.0" encoding="utf-8"?>
<calcChain xmlns="http://schemas.openxmlformats.org/spreadsheetml/2006/main">
  <c r="Q3" i="4" l="1"/>
  <c r="Q4" i="4"/>
  <c r="Q5" i="4"/>
  <c r="C25" i="1"/>
  <c r="D9" i="8" l="1"/>
  <c r="B3" i="8" s="1"/>
  <c r="D91" i="8"/>
  <c r="D90" i="8" s="1"/>
  <c r="D89" i="8"/>
  <c r="D88" i="8"/>
  <c r="D87" i="8"/>
  <c r="D86" i="8"/>
  <c r="D85" i="8"/>
  <c r="D83" i="8"/>
  <c r="D82" i="8"/>
  <c r="D81" i="8"/>
  <c r="D80" i="8"/>
  <c r="D79" i="8"/>
  <c r="D78" i="8"/>
  <c r="D76" i="8"/>
  <c r="D75" i="8"/>
  <c r="D74" i="8"/>
  <c r="D73" i="8"/>
  <c r="D72" i="8"/>
  <c r="D71" i="8"/>
  <c r="D70" i="8"/>
  <c r="D69" i="8"/>
  <c r="D67" i="8"/>
  <c r="D66" i="8"/>
  <c r="D65" i="8"/>
  <c r="D64" i="8"/>
  <c r="D63" i="8"/>
  <c r="D62" i="8"/>
  <c r="D61" i="8"/>
  <c r="D60" i="8"/>
  <c r="D58" i="8"/>
  <c r="D57" i="8"/>
  <c r="D56" i="8"/>
  <c r="D55" i="8"/>
  <c r="D54" i="8"/>
  <c r="D53" i="8"/>
  <c r="D52" i="8"/>
  <c r="D51" i="8"/>
  <c r="D50" i="8"/>
  <c r="D49" i="8"/>
  <c r="D47" i="8"/>
  <c r="D46" i="8"/>
  <c r="D45" i="8"/>
  <c r="D44" i="8"/>
  <c r="D43" i="8"/>
  <c r="D42" i="8"/>
  <c r="D41" i="8"/>
  <c r="D40" i="8"/>
  <c r="D39" i="8"/>
  <c r="D38" i="8"/>
  <c r="D34" i="8"/>
  <c r="D35" i="8"/>
  <c r="D36" i="8"/>
  <c r="C16" i="8"/>
  <c r="D16" i="8"/>
  <c r="C17" i="8"/>
  <c r="D17" i="8"/>
  <c r="C18" i="8"/>
  <c r="D18" i="8"/>
  <c r="D33" i="8"/>
  <c r="D32" i="8"/>
  <c r="D31" i="8"/>
  <c r="D30" i="8"/>
  <c r="D29" i="8"/>
  <c r="D28" i="8"/>
  <c r="D27" i="8"/>
  <c r="D22" i="8"/>
  <c r="D23" i="8" s="1"/>
  <c r="D13" i="8"/>
  <c r="D14" i="8"/>
  <c r="D15" i="8"/>
  <c r="D12" i="8"/>
  <c r="C13" i="8"/>
  <c r="E13" i="8" s="1"/>
  <c r="C14" i="8"/>
  <c r="C15" i="8"/>
  <c r="C12" i="8"/>
  <c r="D21" i="1"/>
  <c r="E14" i="8" l="1"/>
  <c r="E12" i="8"/>
  <c r="E15" i="8"/>
  <c r="E16" i="8"/>
  <c r="E18" i="8"/>
  <c r="D37" i="8"/>
  <c r="E17" i="8"/>
  <c r="D48" i="8"/>
  <c r="D84" i="8"/>
  <c r="D59" i="8"/>
  <c r="D77" i="8"/>
  <c r="D26" i="8"/>
  <c r="D92" i="8" s="1"/>
  <c r="D68" i="8"/>
  <c r="C19" i="8"/>
  <c r="D19" i="8"/>
  <c r="E19" i="8"/>
  <c r="AD47" i="1"/>
  <c r="AD48" i="1"/>
  <c r="AD49" i="1"/>
  <c r="AA47" i="1"/>
  <c r="AC47" i="1" s="1"/>
  <c r="AA48" i="1"/>
  <c r="AC48" i="1" s="1"/>
  <c r="AA49" i="1"/>
  <c r="AA46" i="1"/>
  <c r="AC46" i="1" s="1"/>
  <c r="AA45" i="1"/>
  <c r="AA44" i="1"/>
  <c r="AA43" i="1"/>
  <c r="AA42" i="1"/>
  <c r="AA41" i="1"/>
  <c r="AA40" i="1"/>
  <c r="AD46" i="1"/>
  <c r="AF46" i="1" s="1"/>
  <c r="AD45" i="1"/>
  <c r="AD44" i="1"/>
  <c r="AD43" i="1"/>
  <c r="AD42" i="1"/>
  <c r="AD41" i="1"/>
  <c r="AD40" i="1"/>
  <c r="AM94" i="5"/>
  <c r="AO94" i="5" s="1"/>
  <c r="AO93" i="5" s="1"/>
  <c r="AJ94" i="5"/>
  <c r="AL94" i="5" s="1"/>
  <c r="AL93" i="5" s="1"/>
  <c r="AG94" i="5"/>
  <c r="AI94" i="5" s="1"/>
  <c r="AI93" i="5" s="1"/>
  <c r="AD94" i="5"/>
  <c r="AF94" i="5" s="1"/>
  <c r="AF93" i="5" s="1"/>
  <c r="AA94" i="5"/>
  <c r="AC94" i="5" s="1"/>
  <c r="AC93" i="5" s="1"/>
  <c r="X94" i="5"/>
  <c r="Z94" i="5" s="1"/>
  <c r="Z93" i="5" s="1"/>
  <c r="U94" i="5"/>
  <c r="W94" i="5" s="1"/>
  <c r="W93" i="5" s="1"/>
  <c r="R94" i="5"/>
  <c r="T94" i="5" s="1"/>
  <c r="T93" i="5" s="1"/>
  <c r="O94" i="5"/>
  <c r="Q94" i="5" s="1"/>
  <c r="Q93" i="5" s="1"/>
  <c r="L94" i="5"/>
  <c r="N94" i="5" s="1"/>
  <c r="N93" i="5" s="1"/>
  <c r="I94" i="5"/>
  <c r="K94" i="5" s="1"/>
  <c r="K93" i="5" s="1"/>
  <c r="H94" i="5"/>
  <c r="H93" i="5" s="1"/>
  <c r="AN93" i="5"/>
  <c r="AK93" i="5"/>
  <c r="AH93" i="5"/>
  <c r="AE93" i="5"/>
  <c r="AB93" i="5"/>
  <c r="AA93" i="5"/>
  <c r="Y93" i="5"/>
  <c r="V93" i="5"/>
  <c r="S93" i="5"/>
  <c r="P93" i="5"/>
  <c r="M93" i="5"/>
  <c r="J93" i="5"/>
  <c r="I93" i="5"/>
  <c r="G93" i="5"/>
  <c r="F93" i="5"/>
  <c r="AM92" i="5"/>
  <c r="AO92" i="5" s="1"/>
  <c r="AJ92" i="5"/>
  <c r="AL92" i="5" s="1"/>
  <c r="AG92" i="5"/>
  <c r="AI92" i="5" s="1"/>
  <c r="AD92" i="5"/>
  <c r="AF92" i="5" s="1"/>
  <c r="AA92" i="5"/>
  <c r="AC92" i="5" s="1"/>
  <c r="X92" i="5"/>
  <c r="Z92" i="5" s="1"/>
  <c r="U92" i="5"/>
  <c r="W92" i="5" s="1"/>
  <c r="R92" i="5"/>
  <c r="T92" i="5" s="1"/>
  <c r="O92" i="5"/>
  <c r="Q92" i="5" s="1"/>
  <c r="L92" i="5"/>
  <c r="N92" i="5" s="1"/>
  <c r="I92" i="5"/>
  <c r="K92" i="5" s="1"/>
  <c r="H92" i="5"/>
  <c r="AM91" i="5"/>
  <c r="AO91" i="5" s="1"/>
  <c r="AJ91" i="5"/>
  <c r="AL91" i="5" s="1"/>
  <c r="AG91" i="5"/>
  <c r="AI91" i="5" s="1"/>
  <c r="AD91" i="5"/>
  <c r="AF91" i="5" s="1"/>
  <c r="AA91" i="5"/>
  <c r="AC91" i="5" s="1"/>
  <c r="X91" i="5"/>
  <c r="Z91" i="5" s="1"/>
  <c r="U91" i="5"/>
  <c r="W91" i="5" s="1"/>
  <c r="R91" i="5"/>
  <c r="T91" i="5" s="1"/>
  <c r="O91" i="5"/>
  <c r="Q91" i="5" s="1"/>
  <c r="L91" i="5"/>
  <c r="N91" i="5" s="1"/>
  <c r="I91" i="5"/>
  <c r="K91" i="5" s="1"/>
  <c r="H91" i="5"/>
  <c r="AM90" i="5"/>
  <c r="AO90" i="5" s="1"/>
  <c r="AJ90" i="5"/>
  <c r="AL90" i="5" s="1"/>
  <c r="AG90" i="5"/>
  <c r="AI90" i="5" s="1"/>
  <c r="AD90" i="5"/>
  <c r="AF90" i="5" s="1"/>
  <c r="AA90" i="5"/>
  <c r="AC90" i="5" s="1"/>
  <c r="X90" i="5"/>
  <c r="Z90" i="5" s="1"/>
  <c r="U90" i="5"/>
  <c r="W90" i="5" s="1"/>
  <c r="R90" i="5"/>
  <c r="T90" i="5" s="1"/>
  <c r="O90" i="5"/>
  <c r="Q90" i="5" s="1"/>
  <c r="L90" i="5"/>
  <c r="N90" i="5" s="1"/>
  <c r="I90" i="5"/>
  <c r="K90" i="5" s="1"/>
  <c r="H90" i="5"/>
  <c r="AM89" i="5"/>
  <c r="AO89" i="5" s="1"/>
  <c r="AJ89" i="5"/>
  <c r="AL89" i="5" s="1"/>
  <c r="AG89" i="5"/>
  <c r="AI89" i="5" s="1"/>
  <c r="AD89" i="5"/>
  <c r="AF89" i="5" s="1"/>
  <c r="AA89" i="5"/>
  <c r="AC89" i="5" s="1"/>
  <c r="X89" i="5"/>
  <c r="Z89" i="5" s="1"/>
  <c r="U89" i="5"/>
  <c r="W89" i="5" s="1"/>
  <c r="R89" i="5"/>
  <c r="T89" i="5" s="1"/>
  <c r="O89" i="5"/>
  <c r="Q89" i="5" s="1"/>
  <c r="L89" i="5"/>
  <c r="N89" i="5" s="1"/>
  <c r="I89" i="5"/>
  <c r="K89" i="5" s="1"/>
  <c r="H89" i="5"/>
  <c r="AM88" i="5"/>
  <c r="AO88" i="5" s="1"/>
  <c r="AJ88" i="5"/>
  <c r="AL88" i="5" s="1"/>
  <c r="AG88" i="5"/>
  <c r="AI88" i="5" s="1"/>
  <c r="AD88" i="5"/>
  <c r="AF88" i="5" s="1"/>
  <c r="AA88" i="5"/>
  <c r="AC88" i="5" s="1"/>
  <c r="X88" i="5"/>
  <c r="Z88" i="5" s="1"/>
  <c r="U88" i="5"/>
  <c r="W88" i="5" s="1"/>
  <c r="R88" i="5"/>
  <c r="T88" i="5" s="1"/>
  <c r="O88" i="5"/>
  <c r="Q88" i="5" s="1"/>
  <c r="L88" i="5"/>
  <c r="N88" i="5" s="1"/>
  <c r="I88" i="5"/>
  <c r="K88" i="5" s="1"/>
  <c r="H88" i="5"/>
  <c r="H87" i="5" s="1"/>
  <c r="AN87" i="5"/>
  <c r="AK87" i="5"/>
  <c r="AH87" i="5"/>
  <c r="AE87" i="5"/>
  <c r="AB87" i="5"/>
  <c r="Y87" i="5"/>
  <c r="V87" i="5"/>
  <c r="S87" i="5"/>
  <c r="P87" i="5"/>
  <c r="M87" i="5"/>
  <c r="J87" i="5"/>
  <c r="G87" i="5"/>
  <c r="F87" i="5"/>
  <c r="AM86" i="5"/>
  <c r="AO86" i="5" s="1"/>
  <c r="AJ86" i="5"/>
  <c r="AL86" i="5" s="1"/>
  <c r="AG86" i="5"/>
  <c r="AI86" i="5" s="1"/>
  <c r="AD86" i="5"/>
  <c r="AF86" i="5" s="1"/>
  <c r="AA86" i="5"/>
  <c r="AC86" i="5" s="1"/>
  <c r="X86" i="5"/>
  <c r="Z86" i="5" s="1"/>
  <c r="U86" i="5"/>
  <c r="W86" i="5" s="1"/>
  <c r="R86" i="5"/>
  <c r="T86" i="5" s="1"/>
  <c r="O86" i="5"/>
  <c r="Q86" i="5" s="1"/>
  <c r="L86" i="5"/>
  <c r="N86" i="5" s="1"/>
  <c r="I86" i="5"/>
  <c r="K86" i="5" s="1"/>
  <c r="H86" i="5"/>
  <c r="AM85" i="5"/>
  <c r="AO85" i="5" s="1"/>
  <c r="AJ85" i="5"/>
  <c r="AL85" i="5" s="1"/>
  <c r="AG85" i="5"/>
  <c r="AI85" i="5" s="1"/>
  <c r="AD85" i="5"/>
  <c r="AF85" i="5" s="1"/>
  <c r="AA85" i="5"/>
  <c r="AC85" i="5" s="1"/>
  <c r="X85" i="5"/>
  <c r="Z85" i="5" s="1"/>
  <c r="U85" i="5"/>
  <c r="W85" i="5" s="1"/>
  <c r="R85" i="5"/>
  <c r="T85" i="5" s="1"/>
  <c r="O85" i="5"/>
  <c r="Q85" i="5" s="1"/>
  <c r="L85" i="5"/>
  <c r="N85" i="5" s="1"/>
  <c r="I85" i="5"/>
  <c r="K85" i="5" s="1"/>
  <c r="H85" i="5"/>
  <c r="AM84" i="5"/>
  <c r="AO84" i="5" s="1"/>
  <c r="AJ84" i="5"/>
  <c r="AL84" i="5" s="1"/>
  <c r="AG84" i="5"/>
  <c r="AI84" i="5" s="1"/>
  <c r="AD84" i="5"/>
  <c r="AF84" i="5" s="1"/>
  <c r="AA84" i="5"/>
  <c r="AC84" i="5" s="1"/>
  <c r="X84" i="5"/>
  <c r="Z84" i="5" s="1"/>
  <c r="U84" i="5"/>
  <c r="W84" i="5" s="1"/>
  <c r="R84" i="5"/>
  <c r="T84" i="5" s="1"/>
  <c r="O84" i="5"/>
  <c r="Q84" i="5" s="1"/>
  <c r="L84" i="5"/>
  <c r="N84" i="5" s="1"/>
  <c r="I84" i="5"/>
  <c r="K84" i="5" s="1"/>
  <c r="H84" i="5"/>
  <c r="AM83" i="5"/>
  <c r="AO83" i="5" s="1"/>
  <c r="AJ83" i="5"/>
  <c r="AL83" i="5" s="1"/>
  <c r="AG83" i="5"/>
  <c r="AI83" i="5" s="1"/>
  <c r="AD83" i="5"/>
  <c r="AF83" i="5" s="1"/>
  <c r="AA83" i="5"/>
  <c r="AC83" i="5" s="1"/>
  <c r="X83" i="5"/>
  <c r="Z83" i="5" s="1"/>
  <c r="U83" i="5"/>
  <c r="W83" i="5" s="1"/>
  <c r="R83" i="5"/>
  <c r="T83" i="5" s="1"/>
  <c r="O83" i="5"/>
  <c r="Q83" i="5" s="1"/>
  <c r="L83" i="5"/>
  <c r="N83" i="5" s="1"/>
  <c r="I83" i="5"/>
  <c r="K83" i="5" s="1"/>
  <c r="H83" i="5"/>
  <c r="AM82" i="5"/>
  <c r="AO82" i="5" s="1"/>
  <c r="AJ82" i="5"/>
  <c r="AL82" i="5" s="1"/>
  <c r="AG82" i="5"/>
  <c r="AI82" i="5" s="1"/>
  <c r="AD82" i="5"/>
  <c r="AF82" i="5" s="1"/>
  <c r="AA82" i="5"/>
  <c r="AC82" i="5" s="1"/>
  <c r="X82" i="5"/>
  <c r="Z82" i="5" s="1"/>
  <c r="U82" i="5"/>
  <c r="W82" i="5" s="1"/>
  <c r="R82" i="5"/>
  <c r="T82" i="5" s="1"/>
  <c r="O82" i="5"/>
  <c r="Q82" i="5" s="1"/>
  <c r="L82" i="5"/>
  <c r="N82" i="5" s="1"/>
  <c r="I82" i="5"/>
  <c r="K82" i="5" s="1"/>
  <c r="H82" i="5"/>
  <c r="AM81" i="5"/>
  <c r="AO81" i="5" s="1"/>
  <c r="AJ81" i="5"/>
  <c r="AL81" i="5" s="1"/>
  <c r="AG81" i="5"/>
  <c r="AI81" i="5" s="1"/>
  <c r="AD81" i="5"/>
  <c r="AF81" i="5" s="1"/>
  <c r="AA81" i="5"/>
  <c r="AC81" i="5" s="1"/>
  <c r="X81" i="5"/>
  <c r="Z81" i="5" s="1"/>
  <c r="U81" i="5"/>
  <c r="W81" i="5" s="1"/>
  <c r="R81" i="5"/>
  <c r="T81" i="5" s="1"/>
  <c r="O81" i="5"/>
  <c r="Q81" i="5" s="1"/>
  <c r="L81" i="5"/>
  <c r="N81" i="5" s="1"/>
  <c r="I81" i="5"/>
  <c r="K81" i="5" s="1"/>
  <c r="H81" i="5"/>
  <c r="AN80" i="5"/>
  <c r="AK80" i="5"/>
  <c r="AH80" i="5"/>
  <c r="AE80" i="5"/>
  <c r="AB80" i="5"/>
  <c r="Y80" i="5"/>
  <c r="V80" i="5"/>
  <c r="S80" i="5"/>
  <c r="P80" i="5"/>
  <c r="M80" i="5"/>
  <c r="J80" i="5"/>
  <c r="G80" i="5"/>
  <c r="F80" i="5"/>
  <c r="AM79" i="5"/>
  <c r="AO79" i="5" s="1"/>
  <c r="AJ79" i="5"/>
  <c r="AL79" i="5" s="1"/>
  <c r="AG79" i="5"/>
  <c r="AI79" i="5" s="1"/>
  <c r="AD79" i="5"/>
  <c r="AF79" i="5" s="1"/>
  <c r="AA79" i="5"/>
  <c r="AC79" i="5" s="1"/>
  <c r="X79" i="5"/>
  <c r="Z79" i="5" s="1"/>
  <c r="U79" i="5"/>
  <c r="W79" i="5" s="1"/>
  <c r="R79" i="5"/>
  <c r="T79" i="5" s="1"/>
  <c r="O79" i="5"/>
  <c r="Q79" i="5" s="1"/>
  <c r="L79" i="5"/>
  <c r="N79" i="5" s="1"/>
  <c r="I79" i="5"/>
  <c r="K79" i="5" s="1"/>
  <c r="H79" i="5"/>
  <c r="AM78" i="5"/>
  <c r="AO78" i="5" s="1"/>
  <c r="AJ78" i="5"/>
  <c r="AL78" i="5" s="1"/>
  <c r="AG78" i="5"/>
  <c r="AI78" i="5" s="1"/>
  <c r="AD78" i="5"/>
  <c r="AF78" i="5" s="1"/>
  <c r="AA78" i="5"/>
  <c r="AC78" i="5" s="1"/>
  <c r="X78" i="5"/>
  <c r="Z78" i="5" s="1"/>
  <c r="U78" i="5"/>
  <c r="W78" i="5" s="1"/>
  <c r="R78" i="5"/>
  <c r="T78" i="5" s="1"/>
  <c r="O78" i="5"/>
  <c r="Q78" i="5" s="1"/>
  <c r="L78" i="5"/>
  <c r="N78" i="5" s="1"/>
  <c r="I78" i="5"/>
  <c r="K78" i="5" s="1"/>
  <c r="H78" i="5"/>
  <c r="AM77" i="5"/>
  <c r="AO77" i="5" s="1"/>
  <c r="AJ77" i="5"/>
  <c r="AL77" i="5" s="1"/>
  <c r="AG77" i="5"/>
  <c r="AI77" i="5" s="1"/>
  <c r="AD77" i="5"/>
  <c r="AF77" i="5" s="1"/>
  <c r="AA77" i="5"/>
  <c r="AC77" i="5" s="1"/>
  <c r="X77" i="5"/>
  <c r="Z77" i="5" s="1"/>
  <c r="U77" i="5"/>
  <c r="W77" i="5" s="1"/>
  <c r="R77" i="5"/>
  <c r="T77" i="5" s="1"/>
  <c r="O77" i="5"/>
  <c r="Q77" i="5" s="1"/>
  <c r="L77" i="5"/>
  <c r="N77" i="5" s="1"/>
  <c r="I77" i="5"/>
  <c r="K77" i="5" s="1"/>
  <c r="H77" i="5"/>
  <c r="AM76" i="5"/>
  <c r="AO76" i="5" s="1"/>
  <c r="AJ76" i="5"/>
  <c r="AL76" i="5" s="1"/>
  <c r="AG76" i="5"/>
  <c r="AI76" i="5" s="1"/>
  <c r="AD76" i="5"/>
  <c r="AF76" i="5" s="1"/>
  <c r="AA76" i="5"/>
  <c r="AC76" i="5" s="1"/>
  <c r="X76" i="5"/>
  <c r="Z76" i="5" s="1"/>
  <c r="U76" i="5"/>
  <c r="W76" i="5" s="1"/>
  <c r="R76" i="5"/>
  <c r="T76" i="5" s="1"/>
  <c r="O76" i="5"/>
  <c r="Q76" i="5" s="1"/>
  <c r="L76" i="5"/>
  <c r="N76" i="5" s="1"/>
  <c r="I76" i="5"/>
  <c r="K76" i="5" s="1"/>
  <c r="H76" i="5"/>
  <c r="AM75" i="5"/>
  <c r="AO75" i="5" s="1"/>
  <c r="AJ75" i="5"/>
  <c r="AL75" i="5" s="1"/>
  <c r="AG75" i="5"/>
  <c r="AI75" i="5" s="1"/>
  <c r="AD75" i="5"/>
  <c r="AF75" i="5" s="1"/>
  <c r="AA75" i="5"/>
  <c r="AC75" i="5" s="1"/>
  <c r="X75" i="5"/>
  <c r="Z75" i="5" s="1"/>
  <c r="U75" i="5"/>
  <c r="W75" i="5" s="1"/>
  <c r="R75" i="5"/>
  <c r="T75" i="5" s="1"/>
  <c r="O75" i="5"/>
  <c r="Q75" i="5" s="1"/>
  <c r="L75" i="5"/>
  <c r="N75" i="5" s="1"/>
  <c r="I75" i="5"/>
  <c r="K75" i="5" s="1"/>
  <c r="H75" i="5"/>
  <c r="AM74" i="5"/>
  <c r="AO74" i="5" s="1"/>
  <c r="AJ74" i="5"/>
  <c r="AL74" i="5" s="1"/>
  <c r="AG74" i="5"/>
  <c r="AI74" i="5" s="1"/>
  <c r="AD74" i="5"/>
  <c r="AF74" i="5" s="1"/>
  <c r="AA74" i="5"/>
  <c r="AC74" i="5" s="1"/>
  <c r="X74" i="5"/>
  <c r="Z74" i="5" s="1"/>
  <c r="U74" i="5"/>
  <c r="W74" i="5" s="1"/>
  <c r="R74" i="5"/>
  <c r="T74" i="5" s="1"/>
  <c r="O74" i="5"/>
  <c r="Q74" i="5" s="1"/>
  <c r="L74" i="5"/>
  <c r="N74" i="5" s="1"/>
  <c r="I74" i="5"/>
  <c r="K74" i="5" s="1"/>
  <c r="H74" i="5"/>
  <c r="AM73" i="5"/>
  <c r="AO73" i="5" s="1"/>
  <c r="AJ73" i="5"/>
  <c r="AL73" i="5" s="1"/>
  <c r="AG73" i="5"/>
  <c r="AI73" i="5" s="1"/>
  <c r="AD73" i="5"/>
  <c r="AF73" i="5" s="1"/>
  <c r="AA73" i="5"/>
  <c r="AC73" i="5" s="1"/>
  <c r="X73" i="5"/>
  <c r="Z73" i="5" s="1"/>
  <c r="U73" i="5"/>
  <c r="W73" i="5" s="1"/>
  <c r="R73" i="5"/>
  <c r="T73" i="5" s="1"/>
  <c r="O73" i="5"/>
  <c r="Q73" i="5" s="1"/>
  <c r="L73" i="5"/>
  <c r="N73" i="5" s="1"/>
  <c r="I73" i="5"/>
  <c r="K73" i="5" s="1"/>
  <c r="H73" i="5"/>
  <c r="AM72" i="5"/>
  <c r="AO72" i="5" s="1"/>
  <c r="AJ72" i="5"/>
  <c r="AL72" i="5" s="1"/>
  <c r="AG72" i="5"/>
  <c r="AI72" i="5" s="1"/>
  <c r="AD72" i="5"/>
  <c r="AF72" i="5" s="1"/>
  <c r="AA72" i="5"/>
  <c r="AC72" i="5" s="1"/>
  <c r="X72" i="5"/>
  <c r="Z72" i="5" s="1"/>
  <c r="U72" i="5"/>
  <c r="W72" i="5" s="1"/>
  <c r="R72" i="5"/>
  <c r="T72" i="5" s="1"/>
  <c r="O72" i="5"/>
  <c r="Q72" i="5" s="1"/>
  <c r="L72" i="5"/>
  <c r="N72" i="5" s="1"/>
  <c r="I72" i="5"/>
  <c r="K72" i="5" s="1"/>
  <c r="H72" i="5"/>
  <c r="AN71" i="5"/>
  <c r="AK71" i="5"/>
  <c r="AJ71" i="5"/>
  <c r="AH71" i="5"/>
  <c r="AE71" i="5"/>
  <c r="AB71" i="5"/>
  <c r="Y71" i="5"/>
  <c r="V71" i="5"/>
  <c r="S71" i="5"/>
  <c r="P71" i="5"/>
  <c r="M71" i="5"/>
  <c r="J71" i="5"/>
  <c r="G71" i="5"/>
  <c r="F71" i="5"/>
  <c r="AM70" i="5"/>
  <c r="AO70" i="5" s="1"/>
  <c r="AJ70" i="5"/>
  <c r="AL70" i="5" s="1"/>
  <c r="AG70" i="5"/>
  <c r="AI70" i="5" s="1"/>
  <c r="AD70" i="5"/>
  <c r="AF70" i="5" s="1"/>
  <c r="AA70" i="5"/>
  <c r="AC70" i="5" s="1"/>
  <c r="X70" i="5"/>
  <c r="Z70" i="5" s="1"/>
  <c r="U70" i="5"/>
  <c r="W70" i="5" s="1"/>
  <c r="R70" i="5"/>
  <c r="T70" i="5" s="1"/>
  <c r="O70" i="5"/>
  <c r="Q70" i="5" s="1"/>
  <c r="L70" i="5"/>
  <c r="N70" i="5" s="1"/>
  <c r="I70" i="5"/>
  <c r="K70" i="5" s="1"/>
  <c r="H70" i="5"/>
  <c r="AM69" i="5"/>
  <c r="AO69" i="5" s="1"/>
  <c r="AJ69" i="5"/>
  <c r="AL69" i="5" s="1"/>
  <c r="AG69" i="5"/>
  <c r="AI69" i="5" s="1"/>
  <c r="AD69" i="5"/>
  <c r="AF69" i="5" s="1"/>
  <c r="AA69" i="5"/>
  <c r="AC69" i="5" s="1"/>
  <c r="X69" i="5"/>
  <c r="Z69" i="5" s="1"/>
  <c r="U69" i="5"/>
  <c r="W69" i="5" s="1"/>
  <c r="R69" i="5"/>
  <c r="T69" i="5" s="1"/>
  <c r="O69" i="5"/>
  <c r="Q69" i="5" s="1"/>
  <c r="L69" i="5"/>
  <c r="N69" i="5" s="1"/>
  <c r="I69" i="5"/>
  <c r="K69" i="5" s="1"/>
  <c r="H69" i="5"/>
  <c r="AM68" i="5"/>
  <c r="AO68" i="5" s="1"/>
  <c r="AJ68" i="5"/>
  <c r="AL68" i="5" s="1"/>
  <c r="AG68" i="5"/>
  <c r="AI68" i="5" s="1"/>
  <c r="AD68" i="5"/>
  <c r="AF68" i="5" s="1"/>
  <c r="AA68" i="5"/>
  <c r="AC68" i="5" s="1"/>
  <c r="X68" i="5"/>
  <c r="Z68" i="5" s="1"/>
  <c r="U68" i="5"/>
  <c r="W68" i="5" s="1"/>
  <c r="R68" i="5"/>
  <c r="T68" i="5" s="1"/>
  <c r="O68" i="5"/>
  <c r="Q68" i="5" s="1"/>
  <c r="L68" i="5"/>
  <c r="N68" i="5" s="1"/>
  <c r="I68" i="5"/>
  <c r="K68" i="5" s="1"/>
  <c r="H68" i="5"/>
  <c r="AM67" i="5"/>
  <c r="AO67" i="5" s="1"/>
  <c r="AJ67" i="5"/>
  <c r="AL67" i="5" s="1"/>
  <c r="AG67" i="5"/>
  <c r="AI67" i="5" s="1"/>
  <c r="AD67" i="5"/>
  <c r="AF67" i="5" s="1"/>
  <c r="AA67" i="5"/>
  <c r="AC67" i="5" s="1"/>
  <c r="X67" i="5"/>
  <c r="Z67" i="5" s="1"/>
  <c r="U67" i="5"/>
  <c r="W67" i="5" s="1"/>
  <c r="R67" i="5"/>
  <c r="T67" i="5" s="1"/>
  <c r="O67" i="5"/>
  <c r="Q67" i="5" s="1"/>
  <c r="L67" i="5"/>
  <c r="N67" i="5" s="1"/>
  <c r="I67" i="5"/>
  <c r="K67" i="5" s="1"/>
  <c r="H67" i="5"/>
  <c r="AM66" i="5"/>
  <c r="AO66" i="5" s="1"/>
  <c r="AJ66" i="5"/>
  <c r="AL66" i="5" s="1"/>
  <c r="AG66" i="5"/>
  <c r="AI66" i="5" s="1"/>
  <c r="AD66" i="5"/>
  <c r="AF66" i="5" s="1"/>
  <c r="AA66" i="5"/>
  <c r="AC66" i="5" s="1"/>
  <c r="X66" i="5"/>
  <c r="Z66" i="5" s="1"/>
  <c r="U66" i="5"/>
  <c r="W66" i="5" s="1"/>
  <c r="R66" i="5"/>
  <c r="T66" i="5" s="1"/>
  <c r="O66" i="5"/>
  <c r="Q66" i="5" s="1"/>
  <c r="L66" i="5"/>
  <c r="N66" i="5" s="1"/>
  <c r="I66" i="5"/>
  <c r="K66" i="5" s="1"/>
  <c r="H66" i="5"/>
  <c r="AM65" i="5"/>
  <c r="AO65" i="5" s="1"/>
  <c r="AJ65" i="5"/>
  <c r="AL65" i="5" s="1"/>
  <c r="AG65" i="5"/>
  <c r="AI65" i="5" s="1"/>
  <c r="AD65" i="5"/>
  <c r="AF65" i="5" s="1"/>
  <c r="AA65" i="5"/>
  <c r="AC65" i="5" s="1"/>
  <c r="X65" i="5"/>
  <c r="Z65" i="5" s="1"/>
  <c r="U65" i="5"/>
  <c r="W65" i="5" s="1"/>
  <c r="R65" i="5"/>
  <c r="T65" i="5" s="1"/>
  <c r="O65" i="5"/>
  <c r="Q65" i="5" s="1"/>
  <c r="L65" i="5"/>
  <c r="N65" i="5" s="1"/>
  <c r="I65" i="5"/>
  <c r="K65" i="5" s="1"/>
  <c r="H65" i="5"/>
  <c r="AM64" i="5"/>
  <c r="AO64" i="5" s="1"/>
  <c r="AJ64" i="5"/>
  <c r="AL64" i="5" s="1"/>
  <c r="AG64" i="5"/>
  <c r="AI64" i="5" s="1"/>
  <c r="AD64" i="5"/>
  <c r="AF64" i="5" s="1"/>
  <c r="AA64" i="5"/>
  <c r="AC64" i="5" s="1"/>
  <c r="X64" i="5"/>
  <c r="Z64" i="5" s="1"/>
  <c r="U64" i="5"/>
  <c r="W64" i="5" s="1"/>
  <c r="R64" i="5"/>
  <c r="T64" i="5" s="1"/>
  <c r="O64" i="5"/>
  <c r="Q64" i="5" s="1"/>
  <c r="L64" i="5"/>
  <c r="N64" i="5" s="1"/>
  <c r="I64" i="5"/>
  <c r="K64" i="5" s="1"/>
  <c r="H64" i="5"/>
  <c r="AM63" i="5"/>
  <c r="AO63" i="5" s="1"/>
  <c r="AJ63" i="5"/>
  <c r="AG63" i="5"/>
  <c r="AI63" i="5" s="1"/>
  <c r="AD63" i="5"/>
  <c r="AA63" i="5"/>
  <c r="AC63" i="5" s="1"/>
  <c r="X63" i="5"/>
  <c r="U63" i="5"/>
  <c r="W63" i="5" s="1"/>
  <c r="R63" i="5"/>
  <c r="O63" i="5"/>
  <c r="Q63" i="5" s="1"/>
  <c r="L63" i="5"/>
  <c r="N63" i="5" s="1"/>
  <c r="I63" i="5"/>
  <c r="K63" i="5" s="1"/>
  <c r="H63" i="5"/>
  <c r="H62" i="5" s="1"/>
  <c r="AN62" i="5"/>
  <c r="AK62" i="5"/>
  <c r="AH62" i="5"/>
  <c r="AE62" i="5"/>
  <c r="AB62" i="5"/>
  <c r="Y62" i="5"/>
  <c r="V62" i="5"/>
  <c r="S62" i="5"/>
  <c r="P62" i="5"/>
  <c r="M62" i="5"/>
  <c r="J62" i="5"/>
  <c r="G62" i="5"/>
  <c r="F62" i="5"/>
  <c r="AM61" i="5"/>
  <c r="AO61" i="5" s="1"/>
  <c r="AJ61" i="5"/>
  <c r="AL61" i="5" s="1"/>
  <c r="AG61" i="5"/>
  <c r="AI61" i="5" s="1"/>
  <c r="AD61" i="5"/>
  <c r="AF61" i="5" s="1"/>
  <c r="AA61" i="5"/>
  <c r="AC61" i="5" s="1"/>
  <c r="X61" i="5"/>
  <c r="Z61" i="5" s="1"/>
  <c r="U61" i="5"/>
  <c r="W61" i="5" s="1"/>
  <c r="R61" i="5"/>
  <c r="T61" i="5" s="1"/>
  <c r="O61" i="5"/>
  <c r="Q61" i="5" s="1"/>
  <c r="L61" i="5"/>
  <c r="N61" i="5" s="1"/>
  <c r="I61" i="5"/>
  <c r="K61" i="5" s="1"/>
  <c r="H61" i="5"/>
  <c r="AM60" i="5"/>
  <c r="AO60" i="5" s="1"/>
  <c r="AJ60" i="5"/>
  <c r="AL60" i="5" s="1"/>
  <c r="AG60" i="5"/>
  <c r="AI60" i="5" s="1"/>
  <c r="AD60" i="5"/>
  <c r="AF60" i="5" s="1"/>
  <c r="AA60" i="5"/>
  <c r="AC60" i="5" s="1"/>
  <c r="X60" i="5"/>
  <c r="Z60" i="5" s="1"/>
  <c r="U60" i="5"/>
  <c r="W60" i="5" s="1"/>
  <c r="R60" i="5"/>
  <c r="T60" i="5" s="1"/>
  <c r="O60" i="5"/>
  <c r="Q60" i="5" s="1"/>
  <c r="L60" i="5"/>
  <c r="N60" i="5" s="1"/>
  <c r="I60" i="5"/>
  <c r="K60" i="5" s="1"/>
  <c r="H60" i="5"/>
  <c r="AM59" i="5"/>
  <c r="AO59" i="5" s="1"/>
  <c r="AJ59" i="5"/>
  <c r="AL59" i="5" s="1"/>
  <c r="AG59" i="5"/>
  <c r="AI59" i="5" s="1"/>
  <c r="AD59" i="5"/>
  <c r="AF59" i="5" s="1"/>
  <c r="AA59" i="5"/>
  <c r="AC59" i="5" s="1"/>
  <c r="X59" i="5"/>
  <c r="Z59" i="5" s="1"/>
  <c r="U59" i="5"/>
  <c r="W59" i="5" s="1"/>
  <c r="R59" i="5"/>
  <c r="T59" i="5" s="1"/>
  <c r="O59" i="5"/>
  <c r="Q59" i="5" s="1"/>
  <c r="L59" i="5"/>
  <c r="N59" i="5" s="1"/>
  <c r="I59" i="5"/>
  <c r="K59" i="5" s="1"/>
  <c r="H59" i="5"/>
  <c r="AM58" i="5"/>
  <c r="AO58" i="5" s="1"/>
  <c r="AJ58" i="5"/>
  <c r="AL58" i="5" s="1"/>
  <c r="AG58" i="5"/>
  <c r="AI58" i="5" s="1"/>
  <c r="AD58" i="5"/>
  <c r="AF58" i="5" s="1"/>
  <c r="AA58" i="5"/>
  <c r="AC58" i="5" s="1"/>
  <c r="X58" i="5"/>
  <c r="Z58" i="5" s="1"/>
  <c r="U58" i="5"/>
  <c r="W58" i="5" s="1"/>
  <c r="R58" i="5"/>
  <c r="T58" i="5" s="1"/>
  <c r="O58" i="5"/>
  <c r="Q58" i="5" s="1"/>
  <c r="L58" i="5"/>
  <c r="N58" i="5" s="1"/>
  <c r="I58" i="5"/>
  <c r="K58" i="5" s="1"/>
  <c r="H58" i="5"/>
  <c r="AM57" i="5"/>
  <c r="AO57" i="5" s="1"/>
  <c r="AJ57" i="5"/>
  <c r="AL57" i="5" s="1"/>
  <c r="AG57" i="5"/>
  <c r="AI57" i="5" s="1"/>
  <c r="AD57" i="5"/>
  <c r="AF57" i="5" s="1"/>
  <c r="AA57" i="5"/>
  <c r="AC57" i="5" s="1"/>
  <c r="X57" i="5"/>
  <c r="Z57" i="5" s="1"/>
  <c r="U57" i="5"/>
  <c r="W57" i="5" s="1"/>
  <c r="R57" i="5"/>
  <c r="T57" i="5" s="1"/>
  <c r="O57" i="5"/>
  <c r="Q57" i="5" s="1"/>
  <c r="L57" i="5"/>
  <c r="N57" i="5" s="1"/>
  <c r="I57" i="5"/>
  <c r="K57" i="5" s="1"/>
  <c r="H57" i="5"/>
  <c r="AM56" i="5"/>
  <c r="AO56" i="5" s="1"/>
  <c r="AJ56" i="5"/>
  <c r="AL56" i="5" s="1"/>
  <c r="AG56" i="5"/>
  <c r="AI56" i="5" s="1"/>
  <c r="AD56" i="5"/>
  <c r="AF56" i="5" s="1"/>
  <c r="AA56" i="5"/>
  <c r="AC56" i="5" s="1"/>
  <c r="X56" i="5"/>
  <c r="Z56" i="5" s="1"/>
  <c r="U56" i="5"/>
  <c r="W56" i="5" s="1"/>
  <c r="R56" i="5"/>
  <c r="T56" i="5" s="1"/>
  <c r="O56" i="5"/>
  <c r="Q56" i="5" s="1"/>
  <c r="L56" i="5"/>
  <c r="N56" i="5" s="1"/>
  <c r="I56" i="5"/>
  <c r="K56" i="5" s="1"/>
  <c r="H56" i="5"/>
  <c r="AM55" i="5"/>
  <c r="AO55" i="5" s="1"/>
  <c r="AJ55" i="5"/>
  <c r="AL55" i="5" s="1"/>
  <c r="AG55" i="5"/>
  <c r="AI55" i="5" s="1"/>
  <c r="AD55" i="5"/>
  <c r="AF55" i="5" s="1"/>
  <c r="AA55" i="5"/>
  <c r="AC55" i="5" s="1"/>
  <c r="X55" i="5"/>
  <c r="Z55" i="5" s="1"/>
  <c r="U55" i="5"/>
  <c r="W55" i="5" s="1"/>
  <c r="R55" i="5"/>
  <c r="T55" i="5" s="1"/>
  <c r="O55" i="5"/>
  <c r="Q55" i="5" s="1"/>
  <c r="L55" i="5"/>
  <c r="N55" i="5" s="1"/>
  <c r="I55" i="5"/>
  <c r="K55" i="5" s="1"/>
  <c r="H55" i="5"/>
  <c r="AM54" i="5"/>
  <c r="AO54" i="5" s="1"/>
  <c r="AJ54" i="5"/>
  <c r="AL54" i="5" s="1"/>
  <c r="AG54" i="5"/>
  <c r="AI54" i="5" s="1"/>
  <c r="AD54" i="5"/>
  <c r="AF54" i="5" s="1"/>
  <c r="AA54" i="5"/>
  <c r="AC54" i="5" s="1"/>
  <c r="X54" i="5"/>
  <c r="Z54" i="5" s="1"/>
  <c r="U54" i="5"/>
  <c r="W54" i="5" s="1"/>
  <c r="R54" i="5"/>
  <c r="T54" i="5" s="1"/>
  <c r="O54" i="5"/>
  <c r="Q54" i="5" s="1"/>
  <c r="L54" i="5"/>
  <c r="N54" i="5" s="1"/>
  <c r="I54" i="5"/>
  <c r="K54" i="5" s="1"/>
  <c r="H54" i="5"/>
  <c r="AM53" i="5"/>
  <c r="AO53" i="5" s="1"/>
  <c r="AJ53" i="5"/>
  <c r="AL53" i="5" s="1"/>
  <c r="AG53" i="5"/>
  <c r="AI53" i="5" s="1"/>
  <c r="AD53" i="5"/>
  <c r="AF53" i="5" s="1"/>
  <c r="AA53" i="5"/>
  <c r="AC53" i="5" s="1"/>
  <c r="X53" i="5"/>
  <c r="Z53" i="5" s="1"/>
  <c r="U53" i="5"/>
  <c r="W53" i="5" s="1"/>
  <c r="R53" i="5"/>
  <c r="T53" i="5" s="1"/>
  <c r="O53" i="5"/>
  <c r="Q53" i="5" s="1"/>
  <c r="L53" i="5"/>
  <c r="N53" i="5" s="1"/>
  <c r="I53" i="5"/>
  <c r="K53" i="5" s="1"/>
  <c r="H53" i="5"/>
  <c r="AM52" i="5"/>
  <c r="AO52" i="5" s="1"/>
  <c r="AJ52" i="5"/>
  <c r="AL52" i="5" s="1"/>
  <c r="AG52" i="5"/>
  <c r="AI52" i="5" s="1"/>
  <c r="AD52" i="5"/>
  <c r="AF52" i="5" s="1"/>
  <c r="AA52" i="5"/>
  <c r="AC52" i="5" s="1"/>
  <c r="X52" i="5"/>
  <c r="Z52" i="5" s="1"/>
  <c r="U52" i="5"/>
  <c r="W52" i="5" s="1"/>
  <c r="R52" i="5"/>
  <c r="T52" i="5" s="1"/>
  <c r="O52" i="5"/>
  <c r="Q52" i="5" s="1"/>
  <c r="L52" i="5"/>
  <c r="N52" i="5" s="1"/>
  <c r="I52" i="5"/>
  <c r="K52" i="5" s="1"/>
  <c r="H52" i="5"/>
  <c r="AN51" i="5"/>
  <c r="AK51" i="5"/>
  <c r="AH51" i="5"/>
  <c r="AE51" i="5"/>
  <c r="AB51" i="5"/>
  <c r="Y51" i="5"/>
  <c r="V51" i="5"/>
  <c r="S51" i="5"/>
  <c r="P51" i="5"/>
  <c r="M51" i="5"/>
  <c r="J51" i="5"/>
  <c r="G51" i="5"/>
  <c r="F51" i="5"/>
  <c r="AM50" i="5"/>
  <c r="AO50" i="5" s="1"/>
  <c r="AJ50" i="5"/>
  <c r="AL50" i="5" s="1"/>
  <c r="AI50" i="5"/>
  <c r="AF50" i="5"/>
  <c r="AA50" i="5"/>
  <c r="AC50" i="5" s="1"/>
  <c r="X50" i="5"/>
  <c r="Z50" i="5" s="1"/>
  <c r="U50" i="5"/>
  <c r="W50" i="5" s="1"/>
  <c r="R50" i="5"/>
  <c r="T50" i="5" s="1"/>
  <c r="O50" i="5"/>
  <c r="Q50" i="5" s="1"/>
  <c r="L50" i="5"/>
  <c r="N50" i="5" s="1"/>
  <c r="I50" i="5"/>
  <c r="K50" i="5" s="1"/>
  <c r="H50" i="5"/>
  <c r="AM49" i="5"/>
  <c r="AO49" i="5" s="1"/>
  <c r="AJ49" i="5"/>
  <c r="AL49" i="5" s="1"/>
  <c r="AI49" i="5"/>
  <c r="AF49" i="5"/>
  <c r="AA49" i="5"/>
  <c r="AC49" i="5" s="1"/>
  <c r="X49" i="5"/>
  <c r="Z49" i="5" s="1"/>
  <c r="U49" i="5"/>
  <c r="W49" i="5" s="1"/>
  <c r="R49" i="5"/>
  <c r="T49" i="5" s="1"/>
  <c r="O49" i="5"/>
  <c r="Q49" i="5" s="1"/>
  <c r="L49" i="5"/>
  <c r="N49" i="5" s="1"/>
  <c r="I49" i="5"/>
  <c r="K49" i="5" s="1"/>
  <c r="H49" i="5"/>
  <c r="AM48" i="5"/>
  <c r="AO48" i="5" s="1"/>
  <c r="AJ48" i="5"/>
  <c r="AL48" i="5" s="1"/>
  <c r="AI48" i="5"/>
  <c r="AF48" i="5"/>
  <c r="AA48" i="5"/>
  <c r="AC48" i="5" s="1"/>
  <c r="X48" i="5"/>
  <c r="Z48" i="5" s="1"/>
  <c r="U48" i="5"/>
  <c r="W48" i="5" s="1"/>
  <c r="R48" i="5"/>
  <c r="T48" i="5" s="1"/>
  <c r="O48" i="5"/>
  <c r="Q48" i="5" s="1"/>
  <c r="L48" i="5"/>
  <c r="N48" i="5" s="1"/>
  <c r="I48" i="5"/>
  <c r="K48" i="5" s="1"/>
  <c r="H48" i="5"/>
  <c r="AM47" i="5"/>
  <c r="AO47" i="5" s="1"/>
  <c r="AJ47" i="5"/>
  <c r="AL47" i="5" s="1"/>
  <c r="AI47" i="5"/>
  <c r="AF47" i="5"/>
  <c r="AA47" i="5"/>
  <c r="AC47" i="5" s="1"/>
  <c r="X47" i="5"/>
  <c r="Z47" i="5" s="1"/>
  <c r="U47" i="5"/>
  <c r="W47" i="5" s="1"/>
  <c r="R47" i="5"/>
  <c r="T47" i="5" s="1"/>
  <c r="O47" i="5"/>
  <c r="Q47" i="5" s="1"/>
  <c r="L47" i="5"/>
  <c r="N47" i="5" s="1"/>
  <c r="I47" i="5"/>
  <c r="K47" i="5" s="1"/>
  <c r="H47" i="5"/>
  <c r="AM46" i="5"/>
  <c r="AO46" i="5" s="1"/>
  <c r="AJ46" i="5"/>
  <c r="AL46" i="5" s="1"/>
  <c r="AI46" i="5"/>
  <c r="AF46" i="5"/>
  <c r="AA46" i="5"/>
  <c r="AC46" i="5" s="1"/>
  <c r="X46" i="5"/>
  <c r="Z46" i="5" s="1"/>
  <c r="U46" i="5"/>
  <c r="W46" i="5" s="1"/>
  <c r="R46" i="5"/>
  <c r="T46" i="5" s="1"/>
  <c r="O46" i="5"/>
  <c r="Q46" i="5" s="1"/>
  <c r="L46" i="5"/>
  <c r="N46" i="5" s="1"/>
  <c r="I46" i="5"/>
  <c r="K46" i="5" s="1"/>
  <c r="H46" i="5"/>
  <c r="AM45" i="5"/>
  <c r="AO45" i="5" s="1"/>
  <c r="AJ45" i="5"/>
  <c r="AL45" i="5" s="1"/>
  <c r="AI45" i="5"/>
  <c r="AF45" i="5"/>
  <c r="AA45" i="5"/>
  <c r="AC45" i="5" s="1"/>
  <c r="X45" i="5"/>
  <c r="Z45" i="5" s="1"/>
  <c r="U45" i="5"/>
  <c r="W45" i="5" s="1"/>
  <c r="R45" i="5"/>
  <c r="T45" i="5" s="1"/>
  <c r="O45" i="5"/>
  <c r="Q45" i="5" s="1"/>
  <c r="L45" i="5"/>
  <c r="N45" i="5" s="1"/>
  <c r="I45" i="5"/>
  <c r="K45" i="5" s="1"/>
  <c r="H45" i="5"/>
  <c r="AM44" i="5"/>
  <c r="AO44" i="5" s="1"/>
  <c r="AJ44" i="5"/>
  <c r="AL44" i="5" s="1"/>
  <c r="AI44" i="5"/>
  <c r="AF44" i="5"/>
  <c r="AA44" i="5"/>
  <c r="AC44" i="5" s="1"/>
  <c r="X44" i="5"/>
  <c r="Z44" i="5" s="1"/>
  <c r="U44" i="5"/>
  <c r="W44" i="5" s="1"/>
  <c r="R44" i="5"/>
  <c r="T44" i="5" s="1"/>
  <c r="O44" i="5"/>
  <c r="Q44" i="5" s="1"/>
  <c r="L44" i="5"/>
  <c r="N44" i="5" s="1"/>
  <c r="I44" i="5"/>
  <c r="K44" i="5" s="1"/>
  <c r="H44" i="5"/>
  <c r="AM43" i="5"/>
  <c r="AO43" i="5" s="1"/>
  <c r="AJ43" i="5"/>
  <c r="AL43" i="5" s="1"/>
  <c r="AI43" i="5"/>
  <c r="AF43" i="5"/>
  <c r="AA43" i="5"/>
  <c r="AC43" i="5" s="1"/>
  <c r="X43" i="5"/>
  <c r="Z43" i="5" s="1"/>
  <c r="U43" i="5"/>
  <c r="W43" i="5" s="1"/>
  <c r="R43" i="5"/>
  <c r="T43" i="5" s="1"/>
  <c r="O43" i="5"/>
  <c r="Q43" i="5" s="1"/>
  <c r="L43" i="5"/>
  <c r="N43" i="5" s="1"/>
  <c r="I43" i="5"/>
  <c r="K43" i="5" s="1"/>
  <c r="H43" i="5"/>
  <c r="AM42" i="5"/>
  <c r="AO42" i="5" s="1"/>
  <c r="AJ42" i="5"/>
  <c r="AL42" i="5" s="1"/>
  <c r="AI42" i="5"/>
  <c r="AF42" i="5"/>
  <c r="AA42" i="5"/>
  <c r="AC42" i="5" s="1"/>
  <c r="X42" i="5"/>
  <c r="Z42" i="5" s="1"/>
  <c r="U42" i="5"/>
  <c r="W42" i="5" s="1"/>
  <c r="R42" i="5"/>
  <c r="T42" i="5" s="1"/>
  <c r="O42" i="5"/>
  <c r="Q42" i="5" s="1"/>
  <c r="L42" i="5"/>
  <c r="N42" i="5" s="1"/>
  <c r="I42" i="5"/>
  <c r="K42" i="5" s="1"/>
  <c r="H42" i="5"/>
  <c r="AM41" i="5"/>
  <c r="AO41" i="5" s="1"/>
  <c r="AJ41" i="5"/>
  <c r="AL41" i="5" s="1"/>
  <c r="AI41" i="5"/>
  <c r="AI40" i="5" s="1"/>
  <c r="AF41" i="5"/>
  <c r="AF40" i="5" s="1"/>
  <c r="AA41" i="5"/>
  <c r="AC41" i="5" s="1"/>
  <c r="X41" i="5"/>
  <c r="Z41" i="5" s="1"/>
  <c r="U41" i="5"/>
  <c r="W41" i="5" s="1"/>
  <c r="R41" i="5"/>
  <c r="T41" i="5" s="1"/>
  <c r="O41" i="5"/>
  <c r="Q41" i="5" s="1"/>
  <c r="L41" i="5"/>
  <c r="N41" i="5" s="1"/>
  <c r="I41" i="5"/>
  <c r="K41" i="5" s="1"/>
  <c r="H41" i="5"/>
  <c r="AN40" i="5"/>
  <c r="AK40" i="5"/>
  <c r="AH40" i="5"/>
  <c r="AG40" i="5"/>
  <c r="AE40" i="5"/>
  <c r="AD40" i="5"/>
  <c r="AB40" i="5"/>
  <c r="Y40" i="5"/>
  <c r="V40" i="5"/>
  <c r="S40" i="5"/>
  <c r="P40" i="5"/>
  <c r="M40" i="5"/>
  <c r="J40" i="5"/>
  <c r="G40" i="5"/>
  <c r="F40" i="5"/>
  <c r="AM39" i="5"/>
  <c r="AO39" i="5" s="1"/>
  <c r="AJ39" i="5"/>
  <c r="AL39" i="5" s="1"/>
  <c r="AG39" i="5"/>
  <c r="AI39" i="5" s="1"/>
  <c r="AD39" i="5"/>
  <c r="AF39" i="5" s="1"/>
  <c r="AA39" i="5"/>
  <c r="AC39" i="5" s="1"/>
  <c r="X39" i="5"/>
  <c r="Z39" i="5" s="1"/>
  <c r="U39" i="5"/>
  <c r="W39" i="5" s="1"/>
  <c r="R39" i="5"/>
  <c r="T39" i="5" s="1"/>
  <c r="O39" i="5"/>
  <c r="Q39" i="5" s="1"/>
  <c r="L39" i="5"/>
  <c r="N39" i="5" s="1"/>
  <c r="I39" i="5"/>
  <c r="K39" i="5" s="1"/>
  <c r="H39" i="5"/>
  <c r="AM38" i="5"/>
  <c r="AO38" i="5" s="1"/>
  <c r="AJ38" i="5"/>
  <c r="AL38" i="5" s="1"/>
  <c r="AG38" i="5"/>
  <c r="AI38" i="5" s="1"/>
  <c r="AD38" i="5"/>
  <c r="AF38" i="5" s="1"/>
  <c r="AA38" i="5"/>
  <c r="AC38" i="5" s="1"/>
  <c r="X38" i="5"/>
  <c r="Z38" i="5" s="1"/>
  <c r="U38" i="5"/>
  <c r="W38" i="5" s="1"/>
  <c r="R38" i="5"/>
  <c r="T38" i="5" s="1"/>
  <c r="O38" i="5"/>
  <c r="Q38" i="5" s="1"/>
  <c r="L38" i="5"/>
  <c r="N38" i="5" s="1"/>
  <c r="I38" i="5"/>
  <c r="K38" i="5" s="1"/>
  <c r="H38" i="5"/>
  <c r="AM37" i="5"/>
  <c r="AO37" i="5" s="1"/>
  <c r="AJ37" i="5"/>
  <c r="AL37" i="5" s="1"/>
  <c r="AG37" i="5"/>
  <c r="AI37" i="5" s="1"/>
  <c r="AD37" i="5"/>
  <c r="AF37" i="5" s="1"/>
  <c r="AA37" i="5"/>
  <c r="AC37" i="5" s="1"/>
  <c r="X37" i="5"/>
  <c r="Z37" i="5" s="1"/>
  <c r="U37" i="5"/>
  <c r="W37" i="5" s="1"/>
  <c r="R37" i="5"/>
  <c r="T37" i="5" s="1"/>
  <c r="O37" i="5"/>
  <c r="Q37" i="5" s="1"/>
  <c r="L37" i="5"/>
  <c r="N37" i="5" s="1"/>
  <c r="I37" i="5"/>
  <c r="K37" i="5" s="1"/>
  <c r="H37" i="5"/>
  <c r="AM36" i="5"/>
  <c r="AO36" i="5" s="1"/>
  <c r="AJ36" i="5"/>
  <c r="AL36" i="5" s="1"/>
  <c r="AG36" i="5"/>
  <c r="AI36" i="5" s="1"/>
  <c r="AD36" i="5"/>
  <c r="AF36" i="5" s="1"/>
  <c r="AA36" i="5"/>
  <c r="AC36" i="5" s="1"/>
  <c r="X36" i="5"/>
  <c r="Z36" i="5" s="1"/>
  <c r="U36" i="5"/>
  <c r="W36" i="5" s="1"/>
  <c r="R36" i="5"/>
  <c r="T36" i="5" s="1"/>
  <c r="O36" i="5"/>
  <c r="Q36" i="5" s="1"/>
  <c r="L36" i="5"/>
  <c r="N36" i="5" s="1"/>
  <c r="I36" i="5"/>
  <c r="K36" i="5" s="1"/>
  <c r="H36" i="5"/>
  <c r="AM35" i="5"/>
  <c r="AO35" i="5" s="1"/>
  <c r="AJ35" i="5"/>
  <c r="AL35" i="5" s="1"/>
  <c r="AG35" i="5"/>
  <c r="AI35" i="5" s="1"/>
  <c r="AD35" i="5"/>
  <c r="AF35" i="5" s="1"/>
  <c r="AA35" i="5"/>
  <c r="AC35" i="5" s="1"/>
  <c r="X35" i="5"/>
  <c r="Z35" i="5" s="1"/>
  <c r="U35" i="5"/>
  <c r="W35" i="5" s="1"/>
  <c r="R35" i="5"/>
  <c r="T35" i="5" s="1"/>
  <c r="O35" i="5"/>
  <c r="Q35" i="5" s="1"/>
  <c r="L35" i="5"/>
  <c r="N35" i="5" s="1"/>
  <c r="I35" i="5"/>
  <c r="K35" i="5" s="1"/>
  <c r="H35" i="5"/>
  <c r="AM34" i="5"/>
  <c r="AO34" i="5" s="1"/>
  <c r="AJ34" i="5"/>
  <c r="AL34" i="5" s="1"/>
  <c r="AG34" i="5"/>
  <c r="AI34" i="5" s="1"/>
  <c r="AD34" i="5"/>
  <c r="AF34" i="5" s="1"/>
  <c r="AA34" i="5"/>
  <c r="AC34" i="5" s="1"/>
  <c r="X34" i="5"/>
  <c r="Z34" i="5" s="1"/>
  <c r="U34" i="5"/>
  <c r="W34" i="5" s="1"/>
  <c r="R34" i="5"/>
  <c r="T34" i="5" s="1"/>
  <c r="O34" i="5"/>
  <c r="Q34" i="5" s="1"/>
  <c r="L34" i="5"/>
  <c r="N34" i="5" s="1"/>
  <c r="I34" i="5"/>
  <c r="K34" i="5" s="1"/>
  <c r="H34" i="5"/>
  <c r="AM33" i="5"/>
  <c r="AO33" i="5" s="1"/>
  <c r="AJ33" i="5"/>
  <c r="AL33" i="5" s="1"/>
  <c r="AG33" i="5"/>
  <c r="AI33" i="5" s="1"/>
  <c r="AD33" i="5"/>
  <c r="AF33" i="5" s="1"/>
  <c r="AA33" i="5"/>
  <c r="AC33" i="5" s="1"/>
  <c r="X33" i="5"/>
  <c r="Z33" i="5" s="1"/>
  <c r="U33" i="5"/>
  <c r="W33" i="5" s="1"/>
  <c r="R33" i="5"/>
  <c r="T33" i="5" s="1"/>
  <c r="O33" i="5"/>
  <c r="Q33" i="5" s="1"/>
  <c r="L33" i="5"/>
  <c r="N33" i="5" s="1"/>
  <c r="I33" i="5"/>
  <c r="K33" i="5" s="1"/>
  <c r="H33" i="5"/>
  <c r="AM32" i="5"/>
  <c r="AO32" i="5" s="1"/>
  <c r="AJ32" i="5"/>
  <c r="AL32" i="5" s="1"/>
  <c r="AG32" i="5"/>
  <c r="AI32" i="5" s="1"/>
  <c r="AD32" i="5"/>
  <c r="AF32" i="5" s="1"/>
  <c r="AA32" i="5"/>
  <c r="AC32" i="5" s="1"/>
  <c r="X32" i="5"/>
  <c r="Z32" i="5" s="1"/>
  <c r="U32" i="5"/>
  <c r="W32" i="5" s="1"/>
  <c r="R32" i="5"/>
  <c r="T32" i="5" s="1"/>
  <c r="O32" i="5"/>
  <c r="Q32" i="5" s="1"/>
  <c r="L32" i="5"/>
  <c r="N32" i="5" s="1"/>
  <c r="I32" i="5"/>
  <c r="K32" i="5" s="1"/>
  <c r="H32" i="5"/>
  <c r="AM31" i="5"/>
  <c r="AO31" i="5" s="1"/>
  <c r="AJ31" i="5"/>
  <c r="AL31" i="5" s="1"/>
  <c r="AG31" i="5"/>
  <c r="AI31" i="5" s="1"/>
  <c r="AD31" i="5"/>
  <c r="AF31" i="5" s="1"/>
  <c r="AA31" i="5"/>
  <c r="AC31" i="5" s="1"/>
  <c r="X31" i="5"/>
  <c r="Z31" i="5" s="1"/>
  <c r="U31" i="5"/>
  <c r="W31" i="5" s="1"/>
  <c r="R31" i="5"/>
  <c r="T31" i="5" s="1"/>
  <c r="O31" i="5"/>
  <c r="Q31" i="5" s="1"/>
  <c r="L31" i="5"/>
  <c r="N31" i="5" s="1"/>
  <c r="I31" i="5"/>
  <c r="K31" i="5" s="1"/>
  <c r="H31" i="5"/>
  <c r="AM30" i="5"/>
  <c r="AO30" i="5" s="1"/>
  <c r="AJ30" i="5"/>
  <c r="AL30" i="5" s="1"/>
  <c r="AG30" i="5"/>
  <c r="AI30" i="5" s="1"/>
  <c r="AD30" i="5"/>
  <c r="AF30" i="5" s="1"/>
  <c r="AA30" i="5"/>
  <c r="AC30" i="5" s="1"/>
  <c r="X30" i="5"/>
  <c r="Z30" i="5" s="1"/>
  <c r="U30" i="5"/>
  <c r="W30" i="5" s="1"/>
  <c r="R30" i="5"/>
  <c r="T30" i="5" s="1"/>
  <c r="O30" i="5"/>
  <c r="Q30" i="5" s="1"/>
  <c r="L30" i="5"/>
  <c r="N30" i="5" s="1"/>
  <c r="I30" i="5"/>
  <c r="K30" i="5" s="1"/>
  <c r="H30" i="5"/>
  <c r="AN29" i="5"/>
  <c r="AK29" i="5"/>
  <c r="AH29" i="5"/>
  <c r="AE29" i="5"/>
  <c r="AB29" i="5"/>
  <c r="Y29" i="5"/>
  <c r="V29" i="5"/>
  <c r="S29" i="5"/>
  <c r="P29" i="5"/>
  <c r="M29" i="5"/>
  <c r="J29" i="5"/>
  <c r="G29" i="5"/>
  <c r="F29" i="5"/>
  <c r="AN26" i="5"/>
  <c r="AK26" i="5"/>
  <c r="AH26" i="5"/>
  <c r="AE26" i="5"/>
  <c r="AB26" i="5"/>
  <c r="Y26" i="5"/>
  <c r="V26" i="5"/>
  <c r="S26" i="5"/>
  <c r="P26" i="5"/>
  <c r="M26" i="5"/>
  <c r="J26" i="5"/>
  <c r="G26" i="5"/>
  <c r="AN22" i="5"/>
  <c r="AM22" i="5"/>
  <c r="AK22" i="5"/>
  <c r="AJ22" i="5"/>
  <c r="AH22" i="5"/>
  <c r="AG22" i="5"/>
  <c r="AE22" i="5"/>
  <c r="AD22" i="5"/>
  <c r="AB22" i="5"/>
  <c r="AA22" i="5"/>
  <c r="Y22" i="5"/>
  <c r="X22" i="5"/>
  <c r="V22" i="5"/>
  <c r="U22" i="5"/>
  <c r="S22" i="5"/>
  <c r="R22" i="5"/>
  <c r="P22" i="5"/>
  <c r="O22" i="5"/>
  <c r="M22" i="5"/>
  <c r="L22" i="5"/>
  <c r="J22" i="5"/>
  <c r="I22" i="5"/>
  <c r="G22" i="5"/>
  <c r="F22" i="5"/>
  <c r="AO21" i="5"/>
  <c r="AL21" i="5"/>
  <c r="AI21" i="5"/>
  <c r="AF21" i="5"/>
  <c r="AC21" i="5"/>
  <c r="Z21" i="5"/>
  <c r="W21" i="5"/>
  <c r="T21" i="5"/>
  <c r="Q21" i="5"/>
  <c r="N21" i="5"/>
  <c r="K21" i="5"/>
  <c r="H21" i="5"/>
  <c r="AO20" i="5"/>
  <c r="AL20" i="5"/>
  <c r="AI20" i="5"/>
  <c r="AF20" i="5"/>
  <c r="AC20" i="5"/>
  <c r="Z20" i="5"/>
  <c r="W20" i="5"/>
  <c r="T20" i="5"/>
  <c r="Q20" i="5"/>
  <c r="N20" i="5"/>
  <c r="K20" i="5"/>
  <c r="H20" i="5"/>
  <c r="AO19" i="5"/>
  <c r="AL19" i="5"/>
  <c r="AI19" i="5"/>
  <c r="AF19" i="5"/>
  <c r="AC19" i="5"/>
  <c r="Z19" i="5"/>
  <c r="W19" i="5"/>
  <c r="T19" i="5"/>
  <c r="Q19" i="5"/>
  <c r="N19" i="5"/>
  <c r="K19" i="5"/>
  <c r="H19" i="5"/>
  <c r="AO18" i="5"/>
  <c r="AL18" i="5"/>
  <c r="AI18" i="5"/>
  <c r="AF18" i="5"/>
  <c r="AC18" i="5"/>
  <c r="Z18" i="5"/>
  <c r="W18" i="5"/>
  <c r="T18" i="5"/>
  <c r="Q18" i="5"/>
  <c r="N18" i="5"/>
  <c r="K18" i="5"/>
  <c r="H18" i="5"/>
  <c r="AO17" i="5"/>
  <c r="AL17" i="5"/>
  <c r="AI17" i="5"/>
  <c r="AF17" i="5"/>
  <c r="AC17" i="5"/>
  <c r="Z17" i="5"/>
  <c r="W17" i="5"/>
  <c r="T17" i="5"/>
  <c r="Q17" i="5"/>
  <c r="N17" i="5"/>
  <c r="K17" i="5"/>
  <c r="H17" i="5"/>
  <c r="AO16" i="5"/>
  <c r="AL16" i="5"/>
  <c r="AI16" i="5"/>
  <c r="AF16" i="5"/>
  <c r="AC16" i="5"/>
  <c r="Z16" i="5"/>
  <c r="W16" i="5"/>
  <c r="T16" i="5"/>
  <c r="Q16" i="5"/>
  <c r="N16" i="5"/>
  <c r="K16" i="5"/>
  <c r="H16" i="5"/>
  <c r="AO15" i="5"/>
  <c r="AO22" i="5" s="1"/>
  <c r="AL15" i="5"/>
  <c r="AL22" i="5" s="1"/>
  <c r="AI15" i="5"/>
  <c r="AF15" i="5"/>
  <c r="AC15" i="5"/>
  <c r="Z15" i="5"/>
  <c r="W15" i="5"/>
  <c r="W22" i="5" s="1"/>
  <c r="T15" i="5"/>
  <c r="T22" i="5" s="1"/>
  <c r="Q15" i="5"/>
  <c r="Q22" i="5" s="1"/>
  <c r="N15" i="5"/>
  <c r="N22" i="5" s="1"/>
  <c r="K15" i="5"/>
  <c r="H15" i="5"/>
  <c r="F12" i="5"/>
  <c r="I12" i="5" s="1"/>
  <c r="G92" i="1"/>
  <c r="J92" i="1"/>
  <c r="M92" i="1"/>
  <c r="P92" i="1"/>
  <c r="S92" i="1"/>
  <c r="V92" i="1"/>
  <c r="Y92" i="1"/>
  <c r="AB92" i="1"/>
  <c r="AE92" i="1"/>
  <c r="AH92" i="1"/>
  <c r="AK92" i="1"/>
  <c r="D92" i="1"/>
  <c r="C92" i="1"/>
  <c r="E88" i="1"/>
  <c r="F88" i="1"/>
  <c r="I88" i="1"/>
  <c r="K88" i="1" s="1"/>
  <c r="L88" i="1"/>
  <c r="N88" i="1" s="1"/>
  <c r="O88" i="1"/>
  <c r="Q88" i="1" s="1"/>
  <c r="R88" i="1"/>
  <c r="T88" i="1" s="1"/>
  <c r="U88" i="1"/>
  <c r="W88" i="1" s="1"/>
  <c r="X88" i="1"/>
  <c r="Z88" i="1" s="1"/>
  <c r="AA88" i="1"/>
  <c r="AC88" i="1" s="1"/>
  <c r="AD88" i="1"/>
  <c r="AF88" i="1" s="1"/>
  <c r="AG88" i="1"/>
  <c r="AI88" i="1" s="1"/>
  <c r="AJ88" i="1"/>
  <c r="AL88" i="1" s="1"/>
  <c r="E89" i="1"/>
  <c r="F89" i="1"/>
  <c r="I89" i="1"/>
  <c r="K89" i="1" s="1"/>
  <c r="L89" i="1"/>
  <c r="N89" i="1" s="1"/>
  <c r="O89" i="1"/>
  <c r="Q89" i="1" s="1"/>
  <c r="R89" i="1"/>
  <c r="T89" i="1" s="1"/>
  <c r="U89" i="1"/>
  <c r="W89" i="1" s="1"/>
  <c r="X89" i="1"/>
  <c r="Z89" i="1" s="1"/>
  <c r="AA89" i="1"/>
  <c r="AC89" i="1" s="1"/>
  <c r="AD89" i="1"/>
  <c r="AF89" i="1" s="1"/>
  <c r="AG89" i="1"/>
  <c r="AI89" i="1" s="1"/>
  <c r="AJ89" i="1"/>
  <c r="AL89" i="1" s="1"/>
  <c r="E90" i="1"/>
  <c r="F90" i="1"/>
  <c r="I90" i="1"/>
  <c r="K90" i="1" s="1"/>
  <c r="L90" i="1"/>
  <c r="N90" i="1" s="1"/>
  <c r="O90" i="1"/>
  <c r="Q90" i="1" s="1"/>
  <c r="R90" i="1"/>
  <c r="T90" i="1" s="1"/>
  <c r="U90" i="1"/>
  <c r="W90" i="1" s="1"/>
  <c r="X90" i="1"/>
  <c r="Z90" i="1" s="1"/>
  <c r="AA90" i="1"/>
  <c r="AC90" i="1" s="1"/>
  <c r="AD90" i="1"/>
  <c r="AF90" i="1" s="1"/>
  <c r="AG90" i="1"/>
  <c r="AI90" i="1" s="1"/>
  <c r="AJ90" i="1"/>
  <c r="AL90" i="1" s="1"/>
  <c r="E82" i="1"/>
  <c r="F82" i="1"/>
  <c r="I82" i="1"/>
  <c r="K82" i="1" s="1"/>
  <c r="L82" i="1"/>
  <c r="N82" i="1" s="1"/>
  <c r="O82" i="1"/>
  <c r="Q82" i="1" s="1"/>
  <c r="R82" i="1"/>
  <c r="T82" i="1" s="1"/>
  <c r="U82" i="1"/>
  <c r="W82" i="1" s="1"/>
  <c r="X82" i="1"/>
  <c r="Z82" i="1" s="1"/>
  <c r="AA82" i="1"/>
  <c r="AC82" i="1" s="1"/>
  <c r="AD82" i="1"/>
  <c r="AF82" i="1" s="1"/>
  <c r="AG82" i="1"/>
  <c r="AI82" i="1" s="1"/>
  <c r="AJ82" i="1"/>
  <c r="AL82" i="1" s="1"/>
  <c r="E83" i="1"/>
  <c r="F83" i="1"/>
  <c r="I83" i="1"/>
  <c r="K83" i="1" s="1"/>
  <c r="L83" i="1"/>
  <c r="N83" i="1" s="1"/>
  <c r="O83" i="1"/>
  <c r="Q83" i="1" s="1"/>
  <c r="R83" i="1"/>
  <c r="T83" i="1" s="1"/>
  <c r="U83" i="1"/>
  <c r="W83" i="1" s="1"/>
  <c r="X83" i="1"/>
  <c r="Z83" i="1" s="1"/>
  <c r="AA83" i="1"/>
  <c r="AC83" i="1" s="1"/>
  <c r="AD83" i="1"/>
  <c r="AF83" i="1" s="1"/>
  <c r="AG83" i="1"/>
  <c r="AI83" i="1" s="1"/>
  <c r="AJ83" i="1"/>
  <c r="AL83" i="1" s="1"/>
  <c r="E84" i="1"/>
  <c r="F84" i="1"/>
  <c r="I84" i="1"/>
  <c r="K84" i="1" s="1"/>
  <c r="L84" i="1"/>
  <c r="N84" i="1" s="1"/>
  <c r="O84" i="1"/>
  <c r="Q84" i="1" s="1"/>
  <c r="R84" i="1"/>
  <c r="T84" i="1" s="1"/>
  <c r="U84" i="1"/>
  <c r="W84" i="1" s="1"/>
  <c r="X84" i="1"/>
  <c r="Z84" i="1" s="1"/>
  <c r="AA84" i="1"/>
  <c r="AC84" i="1" s="1"/>
  <c r="AD84" i="1"/>
  <c r="AF84" i="1" s="1"/>
  <c r="AG84" i="1"/>
  <c r="AI84" i="1" s="1"/>
  <c r="AJ84" i="1"/>
  <c r="AL84" i="1" s="1"/>
  <c r="E66" i="1"/>
  <c r="F66" i="1"/>
  <c r="I66" i="1"/>
  <c r="K66" i="1" s="1"/>
  <c r="L66" i="1"/>
  <c r="N66" i="1" s="1"/>
  <c r="O66" i="1"/>
  <c r="Q66" i="1" s="1"/>
  <c r="R66" i="1"/>
  <c r="T66" i="1" s="1"/>
  <c r="U66" i="1"/>
  <c r="W66" i="1" s="1"/>
  <c r="X66" i="1"/>
  <c r="Z66" i="1" s="1"/>
  <c r="AA66" i="1"/>
  <c r="AC66" i="1" s="1"/>
  <c r="AD66" i="1"/>
  <c r="AF66" i="1" s="1"/>
  <c r="AG66" i="1"/>
  <c r="AI66" i="1" s="1"/>
  <c r="AJ66" i="1"/>
  <c r="AL66" i="1" s="1"/>
  <c r="E67" i="1"/>
  <c r="F67" i="1"/>
  <c r="I67" i="1"/>
  <c r="K67" i="1" s="1"/>
  <c r="L67" i="1"/>
  <c r="N67" i="1" s="1"/>
  <c r="O67" i="1"/>
  <c r="Q67" i="1" s="1"/>
  <c r="R67" i="1"/>
  <c r="T67" i="1" s="1"/>
  <c r="U67" i="1"/>
  <c r="W67" i="1" s="1"/>
  <c r="X67" i="1"/>
  <c r="Z67" i="1" s="1"/>
  <c r="AA67" i="1"/>
  <c r="AC67" i="1" s="1"/>
  <c r="AD67" i="1"/>
  <c r="AF67" i="1" s="1"/>
  <c r="AG67" i="1"/>
  <c r="AI67" i="1" s="1"/>
  <c r="AJ67" i="1"/>
  <c r="AL67" i="1" s="1"/>
  <c r="E68" i="1"/>
  <c r="F68" i="1"/>
  <c r="I68" i="1"/>
  <c r="K68" i="1" s="1"/>
  <c r="L68" i="1"/>
  <c r="N68" i="1" s="1"/>
  <c r="O68" i="1"/>
  <c r="Q68" i="1" s="1"/>
  <c r="R68" i="1"/>
  <c r="T68" i="1" s="1"/>
  <c r="U68" i="1"/>
  <c r="W68" i="1" s="1"/>
  <c r="X68" i="1"/>
  <c r="Z68" i="1" s="1"/>
  <c r="AA68" i="1"/>
  <c r="AC68" i="1" s="1"/>
  <c r="AD68" i="1"/>
  <c r="AF68" i="1" s="1"/>
  <c r="AG68" i="1"/>
  <c r="AI68" i="1" s="1"/>
  <c r="AJ68" i="1"/>
  <c r="AL68" i="1" s="1"/>
  <c r="E74" i="1"/>
  <c r="F74" i="1"/>
  <c r="I74" i="1"/>
  <c r="K74" i="1" s="1"/>
  <c r="L74" i="1"/>
  <c r="N74" i="1" s="1"/>
  <c r="O74" i="1"/>
  <c r="Q74" i="1" s="1"/>
  <c r="R74" i="1"/>
  <c r="T74" i="1" s="1"/>
  <c r="U74" i="1"/>
  <c r="W74" i="1" s="1"/>
  <c r="X74" i="1"/>
  <c r="Z74" i="1" s="1"/>
  <c r="AA74" i="1"/>
  <c r="AC74" i="1" s="1"/>
  <c r="AD74" i="1"/>
  <c r="AF74" i="1" s="1"/>
  <c r="AG74" i="1"/>
  <c r="AI74" i="1" s="1"/>
  <c r="AJ74" i="1"/>
  <c r="AL74" i="1" s="1"/>
  <c r="E75" i="1"/>
  <c r="F75" i="1"/>
  <c r="I75" i="1"/>
  <c r="K75" i="1" s="1"/>
  <c r="L75" i="1"/>
  <c r="N75" i="1" s="1"/>
  <c r="O75" i="1"/>
  <c r="Q75" i="1" s="1"/>
  <c r="R75" i="1"/>
  <c r="T75" i="1" s="1"/>
  <c r="U75" i="1"/>
  <c r="W75" i="1" s="1"/>
  <c r="X75" i="1"/>
  <c r="Z75" i="1" s="1"/>
  <c r="AA75" i="1"/>
  <c r="AC75" i="1" s="1"/>
  <c r="AD75" i="1"/>
  <c r="AF75" i="1" s="1"/>
  <c r="AG75" i="1"/>
  <c r="AI75" i="1" s="1"/>
  <c r="AJ75" i="1"/>
  <c r="AL75" i="1" s="1"/>
  <c r="E73" i="1"/>
  <c r="F73" i="1"/>
  <c r="I73" i="1"/>
  <c r="K73" i="1" s="1"/>
  <c r="L73" i="1"/>
  <c r="N73" i="1" s="1"/>
  <c r="O73" i="1"/>
  <c r="Q73" i="1" s="1"/>
  <c r="R73" i="1"/>
  <c r="T73" i="1" s="1"/>
  <c r="U73" i="1"/>
  <c r="W73" i="1" s="1"/>
  <c r="X73" i="1"/>
  <c r="Z73" i="1" s="1"/>
  <c r="AA73" i="1"/>
  <c r="AC73" i="1" s="1"/>
  <c r="AD73" i="1"/>
  <c r="AF73" i="1" s="1"/>
  <c r="AG73" i="1"/>
  <c r="AI73" i="1" s="1"/>
  <c r="AJ73" i="1"/>
  <c r="AL73" i="1" s="1"/>
  <c r="E76" i="1"/>
  <c r="F76" i="1"/>
  <c r="I76" i="1"/>
  <c r="K76" i="1" s="1"/>
  <c r="L76" i="1"/>
  <c r="N76" i="1" s="1"/>
  <c r="O76" i="1"/>
  <c r="Q76" i="1" s="1"/>
  <c r="R76" i="1"/>
  <c r="T76" i="1" s="1"/>
  <c r="U76" i="1"/>
  <c r="W76" i="1" s="1"/>
  <c r="X76" i="1"/>
  <c r="Z76" i="1" s="1"/>
  <c r="AA76" i="1"/>
  <c r="AC76" i="1" s="1"/>
  <c r="AD76" i="1"/>
  <c r="AF76" i="1" s="1"/>
  <c r="AG76" i="1"/>
  <c r="AI76" i="1" s="1"/>
  <c r="AJ76" i="1"/>
  <c r="AL76" i="1" s="1"/>
  <c r="E77" i="1"/>
  <c r="F77" i="1"/>
  <c r="I77" i="1"/>
  <c r="K77" i="1" s="1"/>
  <c r="L77" i="1"/>
  <c r="N77" i="1" s="1"/>
  <c r="O77" i="1"/>
  <c r="Q77" i="1" s="1"/>
  <c r="R77" i="1"/>
  <c r="T77" i="1" s="1"/>
  <c r="U77" i="1"/>
  <c r="W77" i="1" s="1"/>
  <c r="X77" i="1"/>
  <c r="Z77" i="1" s="1"/>
  <c r="AA77" i="1"/>
  <c r="AC77" i="1" s="1"/>
  <c r="AD77" i="1"/>
  <c r="AF77" i="1" s="1"/>
  <c r="AG77" i="1"/>
  <c r="AI77" i="1" s="1"/>
  <c r="AJ77" i="1"/>
  <c r="AL77" i="1" s="1"/>
  <c r="E72" i="1"/>
  <c r="F72" i="1"/>
  <c r="I72" i="1"/>
  <c r="K72" i="1" s="1"/>
  <c r="L72" i="1"/>
  <c r="N72" i="1" s="1"/>
  <c r="O72" i="1"/>
  <c r="Q72" i="1" s="1"/>
  <c r="R72" i="1"/>
  <c r="T72" i="1" s="1"/>
  <c r="U72" i="1"/>
  <c r="W72" i="1" s="1"/>
  <c r="X72" i="1"/>
  <c r="Z72" i="1" s="1"/>
  <c r="AA72" i="1"/>
  <c r="AC72" i="1" s="1"/>
  <c r="AD72" i="1"/>
  <c r="AF72" i="1" s="1"/>
  <c r="AG72" i="1"/>
  <c r="AI72" i="1" s="1"/>
  <c r="AJ72" i="1"/>
  <c r="AL72" i="1" s="1"/>
  <c r="E57" i="1"/>
  <c r="F57" i="1"/>
  <c r="I57" i="1"/>
  <c r="K57" i="1" s="1"/>
  <c r="L57" i="1"/>
  <c r="N57" i="1" s="1"/>
  <c r="O57" i="1"/>
  <c r="Q57" i="1" s="1"/>
  <c r="R57" i="1"/>
  <c r="T57" i="1" s="1"/>
  <c r="U57" i="1"/>
  <c r="W57" i="1" s="1"/>
  <c r="X57" i="1"/>
  <c r="Z57" i="1" s="1"/>
  <c r="AA57" i="1"/>
  <c r="AC57" i="1" s="1"/>
  <c r="AD57" i="1"/>
  <c r="AF57" i="1" s="1"/>
  <c r="AG57" i="1"/>
  <c r="AI57" i="1" s="1"/>
  <c r="AJ57" i="1"/>
  <c r="AL57" i="1" s="1"/>
  <c r="E58" i="1"/>
  <c r="F58" i="1"/>
  <c r="I58" i="1"/>
  <c r="K58" i="1" s="1"/>
  <c r="L58" i="1"/>
  <c r="N58" i="1" s="1"/>
  <c r="O58" i="1"/>
  <c r="Q58" i="1" s="1"/>
  <c r="R58" i="1"/>
  <c r="T58" i="1" s="1"/>
  <c r="U58" i="1"/>
  <c r="W58" i="1" s="1"/>
  <c r="X58" i="1"/>
  <c r="Z58" i="1" s="1"/>
  <c r="AA58" i="1"/>
  <c r="AC58" i="1" s="1"/>
  <c r="AD58" i="1"/>
  <c r="AF58" i="1" s="1"/>
  <c r="AG58" i="1"/>
  <c r="AI58" i="1" s="1"/>
  <c r="AJ58" i="1"/>
  <c r="AL58" i="1" s="1"/>
  <c r="E59" i="1"/>
  <c r="F59" i="1"/>
  <c r="I59" i="1"/>
  <c r="K59" i="1" s="1"/>
  <c r="L59" i="1"/>
  <c r="N59" i="1" s="1"/>
  <c r="O59" i="1"/>
  <c r="Q59" i="1" s="1"/>
  <c r="R59" i="1"/>
  <c r="T59" i="1" s="1"/>
  <c r="U59" i="1"/>
  <c r="W59" i="1" s="1"/>
  <c r="X59" i="1"/>
  <c r="Z59" i="1" s="1"/>
  <c r="AA59" i="1"/>
  <c r="AC59" i="1" s="1"/>
  <c r="AD59" i="1"/>
  <c r="AF59" i="1" s="1"/>
  <c r="AG59" i="1"/>
  <c r="AI59" i="1" s="1"/>
  <c r="AJ59" i="1"/>
  <c r="AL59" i="1" s="1"/>
  <c r="E47" i="1"/>
  <c r="F47" i="1"/>
  <c r="I47" i="1"/>
  <c r="K47" i="1" s="1"/>
  <c r="L47" i="1"/>
  <c r="N47" i="1" s="1"/>
  <c r="O47" i="1"/>
  <c r="Q47" i="1" s="1"/>
  <c r="R47" i="1"/>
  <c r="T47" i="1" s="1"/>
  <c r="U47" i="1"/>
  <c r="W47" i="1" s="1"/>
  <c r="X47" i="1"/>
  <c r="Z47" i="1" s="1"/>
  <c r="AF47" i="1"/>
  <c r="AG47" i="1"/>
  <c r="AI47" i="1" s="1"/>
  <c r="AJ47" i="1"/>
  <c r="AL47" i="1" s="1"/>
  <c r="E46" i="1"/>
  <c r="F46" i="1"/>
  <c r="I46" i="1"/>
  <c r="K46" i="1" s="1"/>
  <c r="L46" i="1"/>
  <c r="N46" i="1" s="1"/>
  <c r="O46" i="1"/>
  <c r="Q46" i="1" s="1"/>
  <c r="R46" i="1"/>
  <c r="T46" i="1" s="1"/>
  <c r="U46" i="1"/>
  <c r="W46" i="1" s="1"/>
  <c r="X46" i="1"/>
  <c r="Z46" i="1" s="1"/>
  <c r="AG46" i="1"/>
  <c r="AI46" i="1" s="1"/>
  <c r="AJ46" i="1"/>
  <c r="AL46" i="1" s="1"/>
  <c r="E48" i="1"/>
  <c r="F48" i="1"/>
  <c r="I48" i="1"/>
  <c r="K48" i="1" s="1"/>
  <c r="L48" i="1"/>
  <c r="N48" i="1" s="1"/>
  <c r="O48" i="1"/>
  <c r="Q48" i="1" s="1"/>
  <c r="R48" i="1"/>
  <c r="T48" i="1" s="1"/>
  <c r="U48" i="1"/>
  <c r="W48" i="1" s="1"/>
  <c r="X48" i="1"/>
  <c r="Z48" i="1" s="1"/>
  <c r="AF48" i="1"/>
  <c r="AG48" i="1"/>
  <c r="AI48" i="1" s="1"/>
  <c r="AJ48" i="1"/>
  <c r="AL48" i="1" s="1"/>
  <c r="E36" i="1"/>
  <c r="F36" i="1"/>
  <c r="I36" i="1"/>
  <c r="K36" i="1" s="1"/>
  <c r="L36" i="1"/>
  <c r="N36" i="1" s="1"/>
  <c r="O36" i="1"/>
  <c r="Q36" i="1" s="1"/>
  <c r="R36" i="1"/>
  <c r="T36" i="1" s="1"/>
  <c r="U36" i="1"/>
  <c r="W36" i="1" s="1"/>
  <c r="X36" i="1"/>
  <c r="Z36" i="1" s="1"/>
  <c r="AA36" i="1"/>
  <c r="AC36" i="1" s="1"/>
  <c r="AD36" i="1"/>
  <c r="AF36" i="1" s="1"/>
  <c r="AG36" i="1"/>
  <c r="AI36" i="1" s="1"/>
  <c r="AJ36" i="1"/>
  <c r="AL36" i="1" s="1"/>
  <c r="E34" i="1"/>
  <c r="F34" i="1"/>
  <c r="I34" i="1"/>
  <c r="K34" i="1" s="1"/>
  <c r="L34" i="1"/>
  <c r="N34" i="1" s="1"/>
  <c r="O34" i="1"/>
  <c r="Q34" i="1" s="1"/>
  <c r="R34" i="1"/>
  <c r="T34" i="1" s="1"/>
  <c r="U34" i="1"/>
  <c r="W34" i="1" s="1"/>
  <c r="X34" i="1"/>
  <c r="Z34" i="1" s="1"/>
  <c r="AA34" i="1"/>
  <c r="AC34" i="1" s="1"/>
  <c r="AD34" i="1"/>
  <c r="AF34" i="1" s="1"/>
  <c r="AG34" i="1"/>
  <c r="AI34" i="1" s="1"/>
  <c r="AJ34" i="1"/>
  <c r="AL34" i="1" s="1"/>
  <c r="E35" i="1"/>
  <c r="F35" i="1"/>
  <c r="I35" i="1"/>
  <c r="K35" i="1" s="1"/>
  <c r="L35" i="1"/>
  <c r="N35" i="1" s="1"/>
  <c r="O35" i="1"/>
  <c r="Q35" i="1" s="1"/>
  <c r="R35" i="1"/>
  <c r="T35" i="1" s="1"/>
  <c r="U35" i="1"/>
  <c r="W35" i="1" s="1"/>
  <c r="X35" i="1"/>
  <c r="Z35" i="1" s="1"/>
  <c r="AA35" i="1"/>
  <c r="AC35" i="1" s="1"/>
  <c r="AD35" i="1"/>
  <c r="AF35" i="1" s="1"/>
  <c r="AG35" i="1"/>
  <c r="AI35" i="1" s="1"/>
  <c r="AJ35" i="1"/>
  <c r="AL35" i="1" s="1"/>
  <c r="E18" i="1"/>
  <c r="H18" i="1"/>
  <c r="K18" i="1"/>
  <c r="N18" i="1"/>
  <c r="Q18" i="1"/>
  <c r="T18" i="1"/>
  <c r="W18" i="1"/>
  <c r="Z18" i="1"/>
  <c r="AC18" i="1"/>
  <c r="AF18" i="1"/>
  <c r="AI18" i="1"/>
  <c r="AL18" i="1"/>
  <c r="E17" i="1"/>
  <c r="H17" i="1"/>
  <c r="K17" i="1"/>
  <c r="N17" i="1"/>
  <c r="Q17" i="1"/>
  <c r="T17" i="1"/>
  <c r="W17" i="1"/>
  <c r="Z17" i="1"/>
  <c r="AC17" i="1"/>
  <c r="AF17" i="1"/>
  <c r="AI17" i="1"/>
  <c r="AL17" i="1"/>
  <c r="E19" i="1"/>
  <c r="H19" i="1"/>
  <c r="K19" i="1"/>
  <c r="N19" i="1"/>
  <c r="Q19" i="1"/>
  <c r="T19" i="1"/>
  <c r="W19" i="1"/>
  <c r="Z19" i="1"/>
  <c r="AC19" i="1"/>
  <c r="AF19" i="1"/>
  <c r="AI19" i="1"/>
  <c r="AL19" i="1"/>
  <c r="AE95" i="5" l="1"/>
  <c r="AA40" i="5"/>
  <c r="AJ87" i="5"/>
  <c r="AG93" i="5"/>
  <c r="U93" i="5"/>
  <c r="I40" i="5"/>
  <c r="AA80" i="5"/>
  <c r="I29" i="5"/>
  <c r="AG29" i="5"/>
  <c r="AM40" i="5"/>
  <c r="X87" i="5"/>
  <c r="R80" i="5"/>
  <c r="AM93" i="5"/>
  <c r="Z22" i="5"/>
  <c r="AK95" i="5"/>
  <c r="AK97" i="5" s="1"/>
  <c r="I51" i="5"/>
  <c r="AA51" i="5"/>
  <c r="X71" i="5"/>
  <c r="H71" i="5"/>
  <c r="L87" i="5"/>
  <c r="AE97" i="5"/>
  <c r="U29" i="5"/>
  <c r="U40" i="5"/>
  <c r="L71" i="5"/>
  <c r="AJ80" i="5"/>
  <c r="AD87" i="5"/>
  <c r="O93" i="5"/>
  <c r="R71" i="5"/>
  <c r="H80" i="5"/>
  <c r="AD80" i="5"/>
  <c r="P95" i="5"/>
  <c r="P97" i="5" s="1"/>
  <c r="H22" i="5"/>
  <c r="AF22" i="5"/>
  <c r="X80" i="5"/>
  <c r="AD93" i="5"/>
  <c r="O80" i="5"/>
  <c r="AC22" i="5"/>
  <c r="AN95" i="5"/>
  <c r="AN97" i="5" s="1"/>
  <c r="K22" i="5"/>
  <c r="AI22" i="5"/>
  <c r="Y95" i="5"/>
  <c r="O51" i="5"/>
  <c r="AG51" i="5"/>
  <c r="L62" i="5"/>
  <c r="O71" i="5"/>
  <c r="L80" i="5"/>
  <c r="AM80" i="5"/>
  <c r="R87" i="5"/>
  <c r="R93" i="5"/>
  <c r="J95" i="5"/>
  <c r="J97" i="5" s="1"/>
  <c r="S95" i="5"/>
  <c r="S97" i="5" s="1"/>
  <c r="AA29" i="5"/>
  <c r="AH95" i="5"/>
  <c r="AH97" i="5" s="1"/>
  <c r="F95" i="5"/>
  <c r="M95" i="5"/>
  <c r="M97" i="5" s="1"/>
  <c r="AB95" i="5"/>
  <c r="AB97" i="5" s="1"/>
  <c r="O40" i="5"/>
  <c r="U51" i="5"/>
  <c r="I71" i="5"/>
  <c r="U71" i="5"/>
  <c r="I80" i="5"/>
  <c r="U80" i="5"/>
  <c r="AG80" i="5"/>
  <c r="I87" i="5"/>
  <c r="O87" i="5"/>
  <c r="U87" i="5"/>
  <c r="AA87" i="5"/>
  <c r="AG87" i="5"/>
  <c r="AM87" i="5"/>
  <c r="L93" i="5"/>
  <c r="X93" i="5"/>
  <c r="AJ93" i="5"/>
  <c r="Y97" i="5"/>
  <c r="G95" i="5"/>
  <c r="G97" i="5" s="1"/>
  <c r="G99" i="5" s="1"/>
  <c r="O29" i="5"/>
  <c r="V95" i="5"/>
  <c r="V97" i="5" s="1"/>
  <c r="AM29" i="5"/>
  <c r="AO87" i="5"/>
  <c r="D94" i="8"/>
  <c r="H35" i="1"/>
  <c r="C33" i="8"/>
  <c r="E33" i="8" s="1"/>
  <c r="H34" i="1"/>
  <c r="C32" i="8"/>
  <c r="E32" i="8" s="1"/>
  <c r="H36" i="1"/>
  <c r="C34" i="8"/>
  <c r="E34" i="8" s="1"/>
  <c r="H46" i="1"/>
  <c r="C44" i="8"/>
  <c r="E44" i="8" s="1"/>
  <c r="H47" i="1"/>
  <c r="C45" i="8"/>
  <c r="E45" i="8" s="1"/>
  <c r="H59" i="1"/>
  <c r="C57" i="8"/>
  <c r="E57" i="8" s="1"/>
  <c r="H58" i="1"/>
  <c r="C56" i="8"/>
  <c r="E56" i="8" s="1"/>
  <c r="H57" i="1"/>
  <c r="C55" i="8"/>
  <c r="E55" i="8" s="1"/>
  <c r="H72" i="1"/>
  <c r="C70" i="8"/>
  <c r="E70" i="8" s="1"/>
  <c r="H77" i="1"/>
  <c r="C75" i="8"/>
  <c r="E75" i="8" s="1"/>
  <c r="H76" i="1"/>
  <c r="C74" i="8"/>
  <c r="E74" i="8" s="1"/>
  <c r="H73" i="1"/>
  <c r="C71" i="8"/>
  <c r="E71" i="8" s="1"/>
  <c r="H75" i="1"/>
  <c r="C73" i="8"/>
  <c r="E73" i="8" s="1"/>
  <c r="H74" i="1"/>
  <c r="C72" i="8"/>
  <c r="E72" i="8" s="1"/>
  <c r="H68" i="1"/>
  <c r="C66" i="8"/>
  <c r="E66" i="8" s="1"/>
  <c r="H67" i="1"/>
  <c r="C65" i="8"/>
  <c r="E65" i="8" s="1"/>
  <c r="H66" i="1"/>
  <c r="C64" i="8"/>
  <c r="E64" i="8" s="1"/>
  <c r="H84" i="1"/>
  <c r="C82" i="8"/>
  <c r="E82" i="8" s="1"/>
  <c r="H83" i="1"/>
  <c r="C81" i="8"/>
  <c r="E81" i="8" s="1"/>
  <c r="H82" i="1"/>
  <c r="C80" i="8"/>
  <c r="E80" i="8" s="1"/>
  <c r="H90" i="1"/>
  <c r="C88" i="8"/>
  <c r="E88" i="8" s="1"/>
  <c r="H89" i="1"/>
  <c r="C87" i="8"/>
  <c r="E87" i="8" s="1"/>
  <c r="H88" i="1"/>
  <c r="C86" i="8"/>
  <c r="E86" i="8" s="1"/>
  <c r="H48" i="1"/>
  <c r="C46" i="8"/>
  <c r="E46" i="8" s="1"/>
  <c r="AM51" i="5"/>
  <c r="N62" i="5"/>
  <c r="K71" i="5"/>
  <c r="Q71" i="5"/>
  <c r="W71" i="5"/>
  <c r="AC71" i="5"/>
  <c r="AI71" i="5"/>
  <c r="AO71" i="5"/>
  <c r="AC80" i="5"/>
  <c r="AI80" i="5"/>
  <c r="AO80" i="5"/>
  <c r="AI87" i="5"/>
  <c r="AF87" i="5"/>
  <c r="G12" i="5"/>
  <c r="N29" i="5"/>
  <c r="T29" i="5"/>
  <c r="Z29" i="5"/>
  <c r="AF29" i="5"/>
  <c r="AL29" i="5"/>
  <c r="N40" i="5"/>
  <c r="T40" i="5"/>
  <c r="Z40" i="5"/>
  <c r="AL40" i="5"/>
  <c r="N51" i="5"/>
  <c r="T51" i="5"/>
  <c r="Z51" i="5"/>
  <c r="AF51" i="5"/>
  <c r="AL51" i="5"/>
  <c r="T63" i="5"/>
  <c r="T62" i="5" s="1"/>
  <c r="R62" i="5"/>
  <c r="Z63" i="5"/>
  <c r="Z62" i="5" s="1"/>
  <c r="X62" i="5"/>
  <c r="AF63" i="5"/>
  <c r="AF62" i="5" s="1"/>
  <c r="AD62" i="5"/>
  <c r="AL63" i="5"/>
  <c r="AL62" i="5" s="1"/>
  <c r="AJ62" i="5"/>
  <c r="K29" i="5"/>
  <c r="Q29" i="5"/>
  <c r="W29" i="5"/>
  <c r="AC29" i="5"/>
  <c r="AI29" i="5"/>
  <c r="AO29" i="5"/>
  <c r="K40" i="5"/>
  <c r="Q40" i="5"/>
  <c r="W40" i="5"/>
  <c r="AC40" i="5"/>
  <c r="AO40" i="5"/>
  <c r="K51" i="5"/>
  <c r="Q51" i="5"/>
  <c r="W51" i="5"/>
  <c r="AC51" i="5"/>
  <c r="AI51" i="5"/>
  <c r="AO51" i="5"/>
  <c r="K62" i="5"/>
  <c r="Q62" i="5"/>
  <c r="W62" i="5"/>
  <c r="AC62" i="5"/>
  <c r="AI62" i="5"/>
  <c r="AO62" i="5"/>
  <c r="AL87" i="5"/>
  <c r="N71" i="5"/>
  <c r="T71" i="5"/>
  <c r="Z71" i="5"/>
  <c r="AF71" i="5"/>
  <c r="AL71" i="5"/>
  <c r="N80" i="5"/>
  <c r="T80" i="5"/>
  <c r="Z80" i="5"/>
  <c r="AF80" i="5"/>
  <c r="AL80" i="5"/>
  <c r="K87" i="5"/>
  <c r="Q87" i="5"/>
  <c r="W87" i="5"/>
  <c r="AC87" i="5"/>
  <c r="AD71" i="5"/>
  <c r="K80" i="5"/>
  <c r="Q80" i="5"/>
  <c r="W80" i="5"/>
  <c r="N87" i="5"/>
  <c r="T87" i="5"/>
  <c r="Z87" i="5"/>
  <c r="H29" i="5"/>
  <c r="H51" i="5"/>
  <c r="H40" i="5"/>
  <c r="L12" i="5"/>
  <c r="J12" i="5"/>
  <c r="F25" i="5"/>
  <c r="I25" i="5"/>
  <c r="L25" i="5"/>
  <c r="O25" i="5"/>
  <c r="R25" i="5"/>
  <c r="U25" i="5"/>
  <c r="X25" i="5"/>
  <c r="AA25" i="5"/>
  <c r="AD25" i="5"/>
  <c r="AG25" i="5"/>
  <c r="AJ25" i="5"/>
  <c r="AM25" i="5"/>
  <c r="L29" i="5"/>
  <c r="R29" i="5"/>
  <c r="X29" i="5"/>
  <c r="AD29" i="5"/>
  <c r="AJ29" i="5"/>
  <c r="L40" i="5"/>
  <c r="R40" i="5"/>
  <c r="X40" i="5"/>
  <c r="AJ40" i="5"/>
  <c r="L51" i="5"/>
  <c r="R51" i="5"/>
  <c r="X51" i="5"/>
  <c r="AD51" i="5"/>
  <c r="AJ51" i="5"/>
  <c r="I62" i="5"/>
  <c r="O62" i="5"/>
  <c r="U62" i="5"/>
  <c r="AA62" i="5"/>
  <c r="AG62" i="5"/>
  <c r="AM62" i="5"/>
  <c r="AA71" i="5"/>
  <c r="AG71" i="5"/>
  <c r="AM71" i="5"/>
  <c r="U95" i="5" l="1"/>
  <c r="O95" i="5"/>
  <c r="J99" i="5"/>
  <c r="M99" i="5" s="1"/>
  <c r="P99" i="5" s="1"/>
  <c r="S99" i="5" s="1"/>
  <c r="V99" i="5" s="1"/>
  <c r="Y99" i="5" s="1"/>
  <c r="AB99" i="5" s="1"/>
  <c r="AE99" i="5" s="1"/>
  <c r="AH99" i="5" s="1"/>
  <c r="AK99" i="5" s="1"/>
  <c r="AN99" i="5" s="1"/>
  <c r="L95" i="5"/>
  <c r="AG95" i="5"/>
  <c r="I95" i="5"/>
  <c r="X95" i="5"/>
  <c r="AI95" i="5"/>
  <c r="W95" i="5"/>
  <c r="K95" i="5"/>
  <c r="AL95" i="5"/>
  <c r="Z95" i="5"/>
  <c r="N95" i="5"/>
  <c r="AM95" i="5"/>
  <c r="AA95" i="5"/>
  <c r="H95" i="5"/>
  <c r="AO95" i="5"/>
  <c r="AC95" i="5"/>
  <c r="Q95" i="5"/>
  <c r="AF95" i="5"/>
  <c r="T95" i="5"/>
  <c r="AJ95" i="5"/>
  <c r="AD95" i="5"/>
  <c r="R95" i="5"/>
  <c r="AM26" i="5"/>
  <c r="AO25" i="5"/>
  <c r="AO26" i="5" s="1"/>
  <c r="AG26" i="5"/>
  <c r="AI25" i="5"/>
  <c r="AI26" i="5" s="1"/>
  <c r="AA26" i="5"/>
  <c r="AC25" i="5"/>
  <c r="AC26" i="5" s="1"/>
  <c r="AC97" i="5" s="1"/>
  <c r="U26" i="5"/>
  <c r="U97" i="5" s="1"/>
  <c r="W25" i="5"/>
  <c r="W26" i="5" s="1"/>
  <c r="O26" i="5"/>
  <c r="Q25" i="5"/>
  <c r="Q26" i="5" s="1"/>
  <c r="I26" i="5"/>
  <c r="K25" i="5"/>
  <c r="K26" i="5" s="1"/>
  <c r="AJ26" i="5"/>
  <c r="AL25" i="5"/>
  <c r="AL26" i="5" s="1"/>
  <c r="AD26" i="5"/>
  <c r="AD97" i="5" s="1"/>
  <c r="AF25" i="5"/>
  <c r="AF26" i="5" s="1"/>
  <c r="AF97" i="5" s="1"/>
  <c r="X26" i="5"/>
  <c r="Z25" i="5"/>
  <c r="Z26" i="5" s="1"/>
  <c r="R26" i="5"/>
  <c r="T25" i="5"/>
  <c r="T26" i="5" s="1"/>
  <c r="L26" i="5"/>
  <c r="N25" i="5"/>
  <c r="N26" i="5" s="1"/>
  <c r="F26" i="5"/>
  <c r="F97" i="5" s="1"/>
  <c r="F99" i="5" s="1"/>
  <c r="H25" i="5"/>
  <c r="H26" i="5" s="1"/>
  <c r="H97" i="5" s="1"/>
  <c r="H99" i="5" s="1"/>
  <c r="O12" i="5"/>
  <c r="M12" i="5"/>
  <c r="O97" i="5" l="1"/>
  <c r="N97" i="5"/>
  <c r="AL97" i="5"/>
  <c r="L97" i="5"/>
  <c r="X97" i="5"/>
  <c r="AA97" i="5"/>
  <c r="AI97" i="5"/>
  <c r="R97" i="5"/>
  <c r="Z97" i="5"/>
  <c r="Q97" i="5"/>
  <c r="AO97" i="5"/>
  <c r="AJ97" i="5"/>
  <c r="T97" i="5"/>
  <c r="K97" i="5"/>
  <c r="K99" i="5" s="1"/>
  <c r="N99" i="5" s="1"/>
  <c r="Q99" i="5" s="1"/>
  <c r="T99" i="5" s="1"/>
  <c r="W97" i="5"/>
  <c r="AM97" i="5"/>
  <c r="I97" i="5"/>
  <c r="I99" i="5" s="1"/>
  <c r="AG97" i="5"/>
  <c r="R12" i="5"/>
  <c r="P12" i="5"/>
  <c r="W99" i="5" l="1"/>
  <c r="Z99" i="5" s="1"/>
  <c r="AC99" i="5" s="1"/>
  <c r="AF99" i="5" s="1"/>
  <c r="AI99" i="5" s="1"/>
  <c r="AL99" i="5" s="1"/>
  <c r="AO99" i="5" s="1"/>
  <c r="L99" i="5"/>
  <c r="O99" i="5" s="1"/>
  <c r="R99" i="5" s="1"/>
  <c r="U99" i="5" s="1"/>
  <c r="X99" i="5" s="1"/>
  <c r="AA99" i="5"/>
  <c r="AD99" i="5" s="1"/>
  <c r="AG99" i="5" s="1"/>
  <c r="AJ99" i="5" s="1"/>
  <c r="AM99" i="5" s="1"/>
  <c r="U12" i="5"/>
  <c r="S12" i="5"/>
  <c r="X12" i="5" l="1"/>
  <c r="V12" i="5"/>
  <c r="AA12" i="5" l="1"/>
  <c r="Y12" i="5"/>
  <c r="AD12" i="5" l="1"/>
  <c r="AB12" i="5"/>
  <c r="AG12" i="5" l="1"/>
  <c r="AE12" i="5"/>
  <c r="AJ12" i="5" l="1"/>
  <c r="AH12" i="5"/>
  <c r="AM12" i="5" l="1"/>
  <c r="AN12" i="5" s="1"/>
  <c r="AK12" i="5"/>
  <c r="P10" i="4" l="1"/>
  <c r="P9" i="4"/>
  <c r="P8" i="4"/>
  <c r="P7" i="4"/>
  <c r="P6" i="4"/>
  <c r="P5" i="4"/>
  <c r="P4" i="4"/>
  <c r="P3" i="4"/>
  <c r="AJ93" i="1" l="1"/>
  <c r="AJ92" i="1" s="1"/>
  <c r="AG93" i="1"/>
  <c r="AG92" i="1" s="1"/>
  <c r="AD93" i="1"/>
  <c r="AD92" i="1" s="1"/>
  <c r="AA93" i="1"/>
  <c r="AA92" i="1" s="1"/>
  <c r="X93" i="1"/>
  <c r="X92" i="1" s="1"/>
  <c r="U93" i="1"/>
  <c r="U92" i="1" s="1"/>
  <c r="R93" i="1"/>
  <c r="R92" i="1" s="1"/>
  <c r="O93" i="1"/>
  <c r="O92" i="1" s="1"/>
  <c r="L93" i="1"/>
  <c r="L92" i="1" s="1"/>
  <c r="I93" i="1"/>
  <c r="I92" i="1" s="1"/>
  <c r="F93" i="1"/>
  <c r="AJ91" i="1"/>
  <c r="AJ87" i="1"/>
  <c r="AG91" i="1"/>
  <c r="AG87" i="1"/>
  <c r="AD91" i="1"/>
  <c r="AD87" i="1"/>
  <c r="AA91" i="1"/>
  <c r="AA87" i="1"/>
  <c r="X91" i="1"/>
  <c r="X87" i="1"/>
  <c r="U91" i="1"/>
  <c r="U87" i="1"/>
  <c r="R91" i="1"/>
  <c r="R87" i="1"/>
  <c r="O91" i="1"/>
  <c r="O87" i="1"/>
  <c r="L91" i="1"/>
  <c r="L87" i="1"/>
  <c r="I91" i="1"/>
  <c r="I87" i="1"/>
  <c r="F91" i="1"/>
  <c r="C89" i="8" s="1"/>
  <c r="E89" i="8" s="1"/>
  <c r="F87" i="1"/>
  <c r="AJ85" i="1"/>
  <c r="AJ81" i="1"/>
  <c r="AJ80" i="1"/>
  <c r="AG85" i="1"/>
  <c r="AG81" i="1"/>
  <c r="AG80" i="1"/>
  <c r="AD85" i="1"/>
  <c r="AD81" i="1"/>
  <c r="AD80" i="1"/>
  <c r="AA85" i="1"/>
  <c r="AA81" i="1"/>
  <c r="AA80" i="1"/>
  <c r="X85" i="1"/>
  <c r="X81" i="1"/>
  <c r="X80" i="1"/>
  <c r="U85" i="1"/>
  <c r="U81" i="1"/>
  <c r="U80" i="1"/>
  <c r="R85" i="1"/>
  <c r="R81" i="1"/>
  <c r="R80" i="1"/>
  <c r="O85" i="1"/>
  <c r="O81" i="1"/>
  <c r="O80" i="1"/>
  <c r="L85" i="1"/>
  <c r="L81" i="1"/>
  <c r="L80" i="1"/>
  <c r="I85" i="1"/>
  <c r="I81" i="1"/>
  <c r="I80" i="1"/>
  <c r="F85" i="1"/>
  <c r="C83" i="8" s="1"/>
  <c r="E83" i="8" s="1"/>
  <c r="F81" i="1"/>
  <c r="F80" i="1"/>
  <c r="AJ78" i="1"/>
  <c r="AJ71" i="1"/>
  <c r="AG78" i="1"/>
  <c r="AG71" i="1"/>
  <c r="AD78" i="1"/>
  <c r="AD71" i="1"/>
  <c r="AA78" i="1"/>
  <c r="AA71" i="1"/>
  <c r="X78" i="1"/>
  <c r="X71" i="1"/>
  <c r="U78" i="1"/>
  <c r="U71" i="1"/>
  <c r="R78" i="1"/>
  <c r="R71" i="1"/>
  <c r="O78" i="1"/>
  <c r="O71" i="1"/>
  <c r="L78" i="1"/>
  <c r="L71" i="1"/>
  <c r="I78" i="1"/>
  <c r="I71" i="1"/>
  <c r="F78" i="1"/>
  <c r="C76" i="8" s="1"/>
  <c r="E76" i="8" s="1"/>
  <c r="F71" i="1"/>
  <c r="C69" i="8" s="1"/>
  <c r="AJ69" i="1"/>
  <c r="AJ65" i="1"/>
  <c r="AJ64" i="1"/>
  <c r="AJ63" i="1"/>
  <c r="AJ62" i="1"/>
  <c r="AG69" i="1"/>
  <c r="AG65" i="1"/>
  <c r="AG64" i="1"/>
  <c r="AG63" i="1"/>
  <c r="AG62" i="1"/>
  <c r="AD69" i="1"/>
  <c r="AD65" i="1"/>
  <c r="AD64" i="1"/>
  <c r="AD63" i="1"/>
  <c r="AD62" i="1"/>
  <c r="AA69" i="1"/>
  <c r="AA65" i="1"/>
  <c r="AA64" i="1"/>
  <c r="AA63" i="1"/>
  <c r="AA62" i="1"/>
  <c r="X69" i="1"/>
  <c r="X65" i="1"/>
  <c r="X64" i="1"/>
  <c r="X63" i="1"/>
  <c r="X62" i="1"/>
  <c r="U69" i="1"/>
  <c r="U65" i="1"/>
  <c r="U64" i="1"/>
  <c r="U63" i="1"/>
  <c r="U62" i="1"/>
  <c r="R69" i="1"/>
  <c r="R65" i="1"/>
  <c r="R64" i="1"/>
  <c r="R63" i="1"/>
  <c r="R62" i="1"/>
  <c r="O69" i="1"/>
  <c r="O65" i="1"/>
  <c r="O64" i="1"/>
  <c r="O63" i="1"/>
  <c r="O62" i="1"/>
  <c r="L69" i="1"/>
  <c r="L65" i="1"/>
  <c r="L64" i="1"/>
  <c r="L63" i="1"/>
  <c r="L62" i="1"/>
  <c r="I69" i="1"/>
  <c r="I65" i="1"/>
  <c r="I64" i="1"/>
  <c r="I63" i="1"/>
  <c r="I62" i="1"/>
  <c r="F63" i="1"/>
  <c r="F64" i="1"/>
  <c r="F65" i="1"/>
  <c r="F69" i="1"/>
  <c r="F62" i="1"/>
  <c r="AJ60" i="1"/>
  <c r="AJ56" i="1"/>
  <c r="AJ55" i="1"/>
  <c r="AJ54" i="1"/>
  <c r="AJ53" i="1"/>
  <c r="AJ52" i="1"/>
  <c r="AJ51" i="1"/>
  <c r="AG60" i="1"/>
  <c r="AG56" i="1"/>
  <c r="AG55" i="1"/>
  <c r="AG54" i="1"/>
  <c r="AG53" i="1"/>
  <c r="AG52" i="1"/>
  <c r="AG51" i="1"/>
  <c r="AD60" i="1"/>
  <c r="AD56" i="1"/>
  <c r="AD55" i="1"/>
  <c r="AD54" i="1"/>
  <c r="AD53" i="1"/>
  <c r="AD52" i="1"/>
  <c r="AD51" i="1"/>
  <c r="AA60" i="1"/>
  <c r="AA56" i="1"/>
  <c r="AA55" i="1"/>
  <c r="AA54" i="1"/>
  <c r="AA53" i="1"/>
  <c r="AA52" i="1"/>
  <c r="AA51" i="1"/>
  <c r="X60" i="1"/>
  <c r="X56" i="1"/>
  <c r="X55" i="1"/>
  <c r="X54" i="1"/>
  <c r="X53" i="1"/>
  <c r="X52" i="1"/>
  <c r="X51" i="1"/>
  <c r="U60" i="1"/>
  <c r="U56" i="1"/>
  <c r="U55" i="1"/>
  <c r="U54" i="1"/>
  <c r="U53" i="1"/>
  <c r="U52" i="1"/>
  <c r="U51" i="1"/>
  <c r="R60" i="1"/>
  <c r="R56" i="1"/>
  <c r="R55" i="1"/>
  <c r="R54" i="1"/>
  <c r="R53" i="1"/>
  <c r="R52" i="1"/>
  <c r="R51" i="1"/>
  <c r="O60" i="1"/>
  <c r="O56" i="1"/>
  <c r="O55" i="1"/>
  <c r="O54" i="1"/>
  <c r="O53" i="1"/>
  <c r="O52" i="1"/>
  <c r="O51" i="1"/>
  <c r="L60" i="1"/>
  <c r="L56" i="1"/>
  <c r="L55" i="1"/>
  <c r="L54" i="1"/>
  <c r="L53" i="1"/>
  <c r="L52" i="1"/>
  <c r="L51" i="1"/>
  <c r="I60" i="1"/>
  <c r="I56" i="1"/>
  <c r="I55" i="1"/>
  <c r="I54" i="1"/>
  <c r="I53" i="1"/>
  <c r="I52" i="1"/>
  <c r="I51" i="1"/>
  <c r="F52" i="1"/>
  <c r="F53" i="1"/>
  <c r="F54" i="1"/>
  <c r="C52" i="8" s="1"/>
  <c r="E52" i="8" s="1"/>
  <c r="F55" i="1"/>
  <c r="F56" i="1"/>
  <c r="F60" i="1"/>
  <c r="F51" i="1"/>
  <c r="AJ49" i="1"/>
  <c r="AJ45" i="1"/>
  <c r="AJ44" i="1"/>
  <c r="AJ43" i="1"/>
  <c r="AJ42" i="1"/>
  <c r="AJ41" i="1"/>
  <c r="AJ40" i="1"/>
  <c r="AG49" i="1"/>
  <c r="AG45" i="1"/>
  <c r="AG44" i="1"/>
  <c r="AG43" i="1"/>
  <c r="AG42" i="1"/>
  <c r="AG41" i="1"/>
  <c r="AG40" i="1"/>
  <c r="X49" i="1"/>
  <c r="X45" i="1"/>
  <c r="X44" i="1"/>
  <c r="X43" i="1"/>
  <c r="X42" i="1"/>
  <c r="X41" i="1"/>
  <c r="X40" i="1"/>
  <c r="U49" i="1"/>
  <c r="U45" i="1"/>
  <c r="U44" i="1"/>
  <c r="U43" i="1"/>
  <c r="U42" i="1"/>
  <c r="U41" i="1"/>
  <c r="U40" i="1"/>
  <c r="R49" i="1"/>
  <c r="R45" i="1"/>
  <c r="R44" i="1"/>
  <c r="R43" i="1"/>
  <c r="R42" i="1"/>
  <c r="R41" i="1"/>
  <c r="R40" i="1"/>
  <c r="O49" i="1"/>
  <c r="O45" i="1"/>
  <c r="O44" i="1"/>
  <c r="O43" i="1"/>
  <c r="O42" i="1"/>
  <c r="O41" i="1"/>
  <c r="O40" i="1"/>
  <c r="L49" i="1"/>
  <c r="L45" i="1"/>
  <c r="L44" i="1"/>
  <c r="L43" i="1"/>
  <c r="L42" i="1"/>
  <c r="L41" i="1"/>
  <c r="L40" i="1"/>
  <c r="I49" i="1"/>
  <c r="I45" i="1"/>
  <c r="I44" i="1"/>
  <c r="I43" i="1"/>
  <c r="I42" i="1"/>
  <c r="I41" i="1"/>
  <c r="I40" i="1"/>
  <c r="F41" i="1"/>
  <c r="F42" i="1"/>
  <c r="F43" i="1"/>
  <c r="F44" i="1"/>
  <c r="C42" i="8" s="1"/>
  <c r="E42" i="8" s="1"/>
  <c r="F45" i="1"/>
  <c r="F49" i="1"/>
  <c r="F40" i="1"/>
  <c r="AJ38" i="1"/>
  <c r="AJ37" i="1"/>
  <c r="AJ33" i="1"/>
  <c r="AJ32" i="1"/>
  <c r="AJ31" i="1"/>
  <c r="AJ30" i="1"/>
  <c r="AJ29" i="1"/>
  <c r="AG38" i="1"/>
  <c r="AG37" i="1"/>
  <c r="AG33" i="1"/>
  <c r="AG32" i="1"/>
  <c r="AG31" i="1"/>
  <c r="AG30" i="1"/>
  <c r="AG29" i="1"/>
  <c r="AD38" i="1"/>
  <c r="AD37" i="1"/>
  <c r="AD33" i="1"/>
  <c r="AD32" i="1"/>
  <c r="AD31" i="1"/>
  <c r="AD30" i="1"/>
  <c r="AD29" i="1"/>
  <c r="AA38" i="1"/>
  <c r="AA37" i="1"/>
  <c r="AA33" i="1"/>
  <c r="AA32" i="1"/>
  <c r="AA31" i="1"/>
  <c r="AA30" i="1"/>
  <c r="AA29" i="1"/>
  <c r="X38" i="1"/>
  <c r="X37" i="1"/>
  <c r="X33" i="1"/>
  <c r="X32" i="1"/>
  <c r="X31" i="1"/>
  <c r="X30" i="1"/>
  <c r="X29" i="1"/>
  <c r="U38" i="1"/>
  <c r="U37" i="1"/>
  <c r="U33" i="1"/>
  <c r="U32" i="1"/>
  <c r="U31" i="1"/>
  <c r="U30" i="1"/>
  <c r="U29" i="1"/>
  <c r="R38" i="1"/>
  <c r="R37" i="1"/>
  <c r="R33" i="1"/>
  <c r="R32" i="1"/>
  <c r="R31" i="1"/>
  <c r="R30" i="1"/>
  <c r="R29" i="1"/>
  <c r="O38" i="1"/>
  <c r="O37" i="1"/>
  <c r="O33" i="1"/>
  <c r="O32" i="1"/>
  <c r="O31" i="1"/>
  <c r="O30" i="1"/>
  <c r="O29" i="1"/>
  <c r="L38" i="1"/>
  <c r="L37" i="1"/>
  <c r="L33" i="1"/>
  <c r="L32" i="1"/>
  <c r="L31" i="1"/>
  <c r="L30" i="1"/>
  <c r="L29" i="1"/>
  <c r="I38" i="1"/>
  <c r="I37" i="1"/>
  <c r="I33" i="1"/>
  <c r="I32" i="1"/>
  <c r="I31" i="1"/>
  <c r="I30" i="1"/>
  <c r="I29" i="1"/>
  <c r="F31" i="1"/>
  <c r="F32" i="1"/>
  <c r="F33" i="1"/>
  <c r="F37" i="1"/>
  <c r="F38" i="1"/>
  <c r="F30" i="1"/>
  <c r="F29" i="1"/>
  <c r="C27" i="8" s="1"/>
  <c r="C31" i="8" l="1"/>
  <c r="E31" i="8" s="1"/>
  <c r="C49" i="8"/>
  <c r="C62" i="8"/>
  <c r="E62" i="8" s="1"/>
  <c r="C30" i="8"/>
  <c r="E30" i="8" s="1"/>
  <c r="C38" i="8"/>
  <c r="C58" i="8"/>
  <c r="E58" i="8" s="1"/>
  <c r="C60" i="8"/>
  <c r="C36" i="8"/>
  <c r="E36" i="8" s="1"/>
  <c r="C29" i="8"/>
  <c r="E29" i="8" s="1"/>
  <c r="C47" i="8"/>
  <c r="E47" i="8" s="1"/>
  <c r="C40" i="8"/>
  <c r="E40" i="8" s="1"/>
  <c r="C54" i="8"/>
  <c r="E54" i="8" s="1"/>
  <c r="C50" i="8"/>
  <c r="E50" i="8" s="1"/>
  <c r="C67" i="8"/>
  <c r="E67" i="8" s="1"/>
  <c r="C78" i="8"/>
  <c r="C28" i="8"/>
  <c r="E28" i="8" s="1"/>
  <c r="C41" i="8"/>
  <c r="E41" i="8" s="1"/>
  <c r="C51" i="8"/>
  <c r="E51" i="8" s="1"/>
  <c r="C61" i="8"/>
  <c r="E61" i="8" s="1"/>
  <c r="C35" i="8"/>
  <c r="E35" i="8" s="1"/>
  <c r="C43" i="8"/>
  <c r="E43" i="8" s="1"/>
  <c r="C39" i="8"/>
  <c r="E39" i="8" s="1"/>
  <c r="C53" i="8"/>
  <c r="E53" i="8" s="1"/>
  <c r="C63" i="8"/>
  <c r="E63" i="8" s="1"/>
  <c r="C79" i="8"/>
  <c r="E79" i="8" s="1"/>
  <c r="C85" i="8"/>
  <c r="C84" i="8" s="1"/>
  <c r="E27" i="8"/>
  <c r="E49" i="8"/>
  <c r="E69" i="8"/>
  <c r="E68" i="8" s="1"/>
  <c r="C68" i="8"/>
  <c r="E78" i="8"/>
  <c r="E60" i="8"/>
  <c r="F92" i="1"/>
  <c r="C91" i="8"/>
  <c r="D25" i="1"/>
  <c r="G25" i="1"/>
  <c r="J25" i="1"/>
  <c r="M25" i="1"/>
  <c r="P25" i="1"/>
  <c r="S25" i="1"/>
  <c r="V25" i="1"/>
  <c r="Y25" i="1"/>
  <c r="AB25" i="1"/>
  <c r="AE25" i="1"/>
  <c r="AH25" i="1"/>
  <c r="AK25" i="1"/>
  <c r="AL20" i="1"/>
  <c r="AL16" i="1"/>
  <c r="AL15" i="1"/>
  <c r="AL14" i="1"/>
  <c r="AI20" i="1"/>
  <c r="AI16" i="1"/>
  <c r="AI15" i="1"/>
  <c r="AI14" i="1"/>
  <c r="AF20" i="1"/>
  <c r="AF16" i="1"/>
  <c r="AF15" i="1"/>
  <c r="AF14" i="1"/>
  <c r="AC20" i="1"/>
  <c r="AC16" i="1"/>
  <c r="AC15" i="1"/>
  <c r="AC14" i="1"/>
  <c r="Z20" i="1"/>
  <c r="Z16" i="1"/>
  <c r="Z15" i="1"/>
  <c r="Z14" i="1"/>
  <c r="W20" i="1"/>
  <c r="W16" i="1"/>
  <c r="W15" i="1"/>
  <c r="W14" i="1"/>
  <c r="T20" i="1"/>
  <c r="T16" i="1"/>
  <c r="T15" i="1"/>
  <c r="T14" i="1"/>
  <c r="Q20" i="1"/>
  <c r="Q16" i="1"/>
  <c r="Q15" i="1"/>
  <c r="Q14" i="1"/>
  <c r="N20" i="1"/>
  <c r="N16" i="1"/>
  <c r="N15" i="1"/>
  <c r="N14" i="1"/>
  <c r="K20" i="1"/>
  <c r="K16" i="1"/>
  <c r="K15" i="1"/>
  <c r="K14" i="1"/>
  <c r="H20" i="1"/>
  <c r="H16" i="1"/>
  <c r="H15" i="1"/>
  <c r="H14" i="1"/>
  <c r="E15" i="1"/>
  <c r="E16" i="1"/>
  <c r="E20" i="1"/>
  <c r="E14" i="1"/>
  <c r="C21" i="1"/>
  <c r="D86" i="1"/>
  <c r="F86" i="1"/>
  <c r="G86" i="1"/>
  <c r="I86" i="1"/>
  <c r="J86" i="1"/>
  <c r="L86" i="1"/>
  <c r="M86" i="1"/>
  <c r="O86" i="1"/>
  <c r="P86" i="1"/>
  <c r="R86" i="1"/>
  <c r="S86" i="1"/>
  <c r="U86" i="1"/>
  <c r="V86" i="1"/>
  <c r="X86" i="1"/>
  <c r="Y86" i="1"/>
  <c r="AA86" i="1"/>
  <c r="AB86" i="1"/>
  <c r="AD86" i="1"/>
  <c r="AE86" i="1"/>
  <c r="AG86" i="1"/>
  <c r="AH86" i="1"/>
  <c r="AJ86" i="1"/>
  <c r="AK86" i="1"/>
  <c r="C86" i="1"/>
  <c r="D79" i="1"/>
  <c r="F79" i="1"/>
  <c r="G79" i="1"/>
  <c r="I79" i="1"/>
  <c r="J79" i="1"/>
  <c r="L79" i="1"/>
  <c r="M79" i="1"/>
  <c r="O79" i="1"/>
  <c r="P79" i="1"/>
  <c r="R79" i="1"/>
  <c r="S79" i="1"/>
  <c r="U79" i="1"/>
  <c r="V79" i="1"/>
  <c r="X79" i="1"/>
  <c r="Y79" i="1"/>
  <c r="AA79" i="1"/>
  <c r="AB79" i="1"/>
  <c r="AD79" i="1"/>
  <c r="AE79" i="1"/>
  <c r="AG79" i="1"/>
  <c r="AH79" i="1"/>
  <c r="AJ79" i="1"/>
  <c r="AK79" i="1"/>
  <c r="C79" i="1"/>
  <c r="D61" i="1"/>
  <c r="F61" i="1"/>
  <c r="G61" i="1"/>
  <c r="I61" i="1"/>
  <c r="J61" i="1"/>
  <c r="L61" i="1"/>
  <c r="M61" i="1"/>
  <c r="O61" i="1"/>
  <c r="P61" i="1"/>
  <c r="R61" i="1"/>
  <c r="S61" i="1"/>
  <c r="U61" i="1"/>
  <c r="V61" i="1"/>
  <c r="X61" i="1"/>
  <c r="Y61" i="1"/>
  <c r="AA61" i="1"/>
  <c r="AB61" i="1"/>
  <c r="AD61" i="1"/>
  <c r="AE61" i="1"/>
  <c r="AG61" i="1"/>
  <c r="AH61" i="1"/>
  <c r="AJ61" i="1"/>
  <c r="AK61" i="1"/>
  <c r="C61" i="1"/>
  <c r="D70" i="1"/>
  <c r="F70" i="1"/>
  <c r="G70" i="1"/>
  <c r="I70" i="1"/>
  <c r="J70" i="1"/>
  <c r="L70" i="1"/>
  <c r="M70" i="1"/>
  <c r="O70" i="1"/>
  <c r="P70" i="1"/>
  <c r="R70" i="1"/>
  <c r="S70" i="1"/>
  <c r="U70" i="1"/>
  <c r="V70" i="1"/>
  <c r="X70" i="1"/>
  <c r="Y70" i="1"/>
  <c r="AA70" i="1"/>
  <c r="AB70" i="1"/>
  <c r="AD70" i="1"/>
  <c r="AE70" i="1"/>
  <c r="AG70" i="1"/>
  <c r="AH70" i="1"/>
  <c r="AJ70" i="1"/>
  <c r="AK70" i="1"/>
  <c r="C70" i="1"/>
  <c r="E62" i="1"/>
  <c r="H62" i="1"/>
  <c r="K62" i="1"/>
  <c r="N62" i="1"/>
  <c r="Q62" i="1"/>
  <c r="T62" i="1"/>
  <c r="W62" i="1"/>
  <c r="Z62" i="1"/>
  <c r="AC62" i="1"/>
  <c r="AF62" i="1"/>
  <c r="AI62" i="1"/>
  <c r="AL62" i="1"/>
  <c r="E63" i="1"/>
  <c r="H63" i="1"/>
  <c r="K63" i="1"/>
  <c r="N63" i="1"/>
  <c r="Q63" i="1"/>
  <c r="T63" i="1"/>
  <c r="W63" i="1"/>
  <c r="Z63" i="1"/>
  <c r="AC63" i="1"/>
  <c r="AF63" i="1"/>
  <c r="AI63" i="1"/>
  <c r="AL63" i="1"/>
  <c r="E64" i="1"/>
  <c r="H64" i="1"/>
  <c r="K64" i="1"/>
  <c r="N64" i="1"/>
  <c r="Q64" i="1"/>
  <c r="T64" i="1"/>
  <c r="W64" i="1"/>
  <c r="Z64" i="1"/>
  <c r="AC64" i="1"/>
  <c r="AF64" i="1"/>
  <c r="AI64" i="1"/>
  <c r="AL64" i="1"/>
  <c r="E65" i="1"/>
  <c r="H65" i="1"/>
  <c r="K65" i="1"/>
  <c r="N65" i="1"/>
  <c r="Q65" i="1"/>
  <c r="T65" i="1"/>
  <c r="W65" i="1"/>
  <c r="Z65" i="1"/>
  <c r="AC65" i="1"/>
  <c r="AF65" i="1"/>
  <c r="AI65" i="1"/>
  <c r="AL65" i="1"/>
  <c r="E69" i="1"/>
  <c r="H69" i="1"/>
  <c r="K69" i="1"/>
  <c r="N69" i="1"/>
  <c r="Q69" i="1"/>
  <c r="T69" i="1"/>
  <c r="W69" i="1"/>
  <c r="Z69" i="1"/>
  <c r="AC69" i="1"/>
  <c r="AF69" i="1"/>
  <c r="AI69" i="1"/>
  <c r="AL69" i="1"/>
  <c r="E71" i="1"/>
  <c r="H71" i="1"/>
  <c r="K71" i="1"/>
  <c r="N71" i="1"/>
  <c r="Q71" i="1"/>
  <c r="T71" i="1"/>
  <c r="W71" i="1"/>
  <c r="Z71" i="1"/>
  <c r="AC71" i="1"/>
  <c r="AF71" i="1"/>
  <c r="AI71" i="1"/>
  <c r="AL71" i="1"/>
  <c r="E78" i="1"/>
  <c r="H78" i="1"/>
  <c r="K78" i="1"/>
  <c r="N78" i="1"/>
  <c r="Q78" i="1"/>
  <c r="T78" i="1"/>
  <c r="W78" i="1"/>
  <c r="Z78" i="1"/>
  <c r="AC78" i="1"/>
  <c r="AF78" i="1"/>
  <c r="AI78" i="1"/>
  <c r="AL78" i="1"/>
  <c r="E80" i="1"/>
  <c r="H80" i="1"/>
  <c r="K80" i="1"/>
  <c r="N80" i="1"/>
  <c r="Q80" i="1"/>
  <c r="T80" i="1"/>
  <c r="W80" i="1"/>
  <c r="Z80" i="1"/>
  <c r="AC80" i="1"/>
  <c r="AF80" i="1"/>
  <c r="AI80" i="1"/>
  <c r="AL80" i="1"/>
  <c r="E81" i="1"/>
  <c r="H81" i="1"/>
  <c r="K81" i="1"/>
  <c r="N81" i="1"/>
  <c r="Q81" i="1"/>
  <c r="T81" i="1"/>
  <c r="W81" i="1"/>
  <c r="Z81" i="1"/>
  <c r="AC81" i="1"/>
  <c r="AF81" i="1"/>
  <c r="AI81" i="1"/>
  <c r="AL81" i="1"/>
  <c r="E85" i="1"/>
  <c r="H85" i="1"/>
  <c r="K85" i="1"/>
  <c r="N85" i="1"/>
  <c r="Q85" i="1"/>
  <c r="T85" i="1"/>
  <c r="W85" i="1"/>
  <c r="Z85" i="1"/>
  <c r="AC85" i="1"/>
  <c r="AF85" i="1"/>
  <c r="AI85" i="1"/>
  <c r="AL85" i="1"/>
  <c r="E87" i="1"/>
  <c r="H87" i="1"/>
  <c r="K87" i="1"/>
  <c r="N87" i="1"/>
  <c r="Q87" i="1"/>
  <c r="T87" i="1"/>
  <c r="W87" i="1"/>
  <c r="Z87" i="1"/>
  <c r="AC87" i="1"/>
  <c r="AF87" i="1"/>
  <c r="AI87" i="1"/>
  <c r="AL87" i="1"/>
  <c r="E91" i="1"/>
  <c r="H91" i="1"/>
  <c r="K91" i="1"/>
  <c r="N91" i="1"/>
  <c r="Q91" i="1"/>
  <c r="T91" i="1"/>
  <c r="W91" i="1"/>
  <c r="Z91" i="1"/>
  <c r="AC91" i="1"/>
  <c r="AF91" i="1"/>
  <c r="AI91" i="1"/>
  <c r="AL91" i="1"/>
  <c r="E93" i="1"/>
  <c r="E92" i="1" s="1"/>
  <c r="H93" i="1"/>
  <c r="H92" i="1" s="1"/>
  <c r="K93" i="1"/>
  <c r="K92" i="1" s="1"/>
  <c r="N93" i="1"/>
  <c r="N92" i="1" s="1"/>
  <c r="Q93" i="1"/>
  <c r="Q92" i="1" s="1"/>
  <c r="T93" i="1"/>
  <c r="T92" i="1" s="1"/>
  <c r="W93" i="1"/>
  <c r="W92" i="1" s="1"/>
  <c r="Z93" i="1"/>
  <c r="Z92" i="1" s="1"/>
  <c r="AC93" i="1"/>
  <c r="AC92" i="1" s="1"/>
  <c r="AF93" i="1"/>
  <c r="AF92" i="1" s="1"/>
  <c r="AI93" i="1"/>
  <c r="AI92" i="1" s="1"/>
  <c r="AL93" i="1"/>
  <c r="AL92" i="1" s="1"/>
  <c r="AL60" i="1"/>
  <c r="AI60" i="1"/>
  <c r="AF60" i="1"/>
  <c r="AC60" i="1"/>
  <c r="Z60" i="1"/>
  <c r="W60" i="1"/>
  <c r="T60" i="1"/>
  <c r="Q60" i="1"/>
  <c r="N60" i="1"/>
  <c r="K60" i="1"/>
  <c r="H60" i="1"/>
  <c r="E60" i="1"/>
  <c r="AL56" i="1"/>
  <c r="AI56" i="1"/>
  <c r="AF56" i="1"/>
  <c r="AC56" i="1"/>
  <c r="Z56" i="1"/>
  <c r="W56" i="1"/>
  <c r="T56" i="1"/>
  <c r="Q56" i="1"/>
  <c r="N56" i="1"/>
  <c r="K56" i="1"/>
  <c r="H56" i="1"/>
  <c r="E56" i="1"/>
  <c r="AL55" i="1"/>
  <c r="AI55" i="1"/>
  <c r="AF55" i="1"/>
  <c r="AC55" i="1"/>
  <c r="Z55" i="1"/>
  <c r="W55" i="1"/>
  <c r="T55" i="1"/>
  <c r="Q55" i="1"/>
  <c r="N55" i="1"/>
  <c r="K55" i="1"/>
  <c r="H55" i="1"/>
  <c r="E55" i="1"/>
  <c r="AL54" i="1"/>
  <c r="AI54" i="1"/>
  <c r="AF54" i="1"/>
  <c r="AC54" i="1"/>
  <c r="Z54" i="1"/>
  <c r="W54" i="1"/>
  <c r="T54" i="1"/>
  <c r="Q54" i="1"/>
  <c r="N54" i="1"/>
  <c r="K54" i="1"/>
  <c r="H54" i="1"/>
  <c r="E54" i="1"/>
  <c r="AL53" i="1"/>
  <c r="AI53" i="1"/>
  <c r="AF53" i="1"/>
  <c r="AC53" i="1"/>
  <c r="Z53" i="1"/>
  <c r="W53" i="1"/>
  <c r="T53" i="1"/>
  <c r="Q53" i="1"/>
  <c r="N53" i="1"/>
  <c r="K53" i="1"/>
  <c r="H53" i="1"/>
  <c r="E53" i="1"/>
  <c r="AL52" i="1"/>
  <c r="AI52" i="1"/>
  <c r="AF52" i="1"/>
  <c r="AC52" i="1"/>
  <c r="Z52" i="1"/>
  <c r="W52" i="1"/>
  <c r="T52" i="1"/>
  <c r="Q52" i="1"/>
  <c r="N52" i="1"/>
  <c r="K52" i="1"/>
  <c r="H52" i="1"/>
  <c r="E52" i="1"/>
  <c r="AL51" i="1"/>
  <c r="AL50" i="1" s="1"/>
  <c r="AI51" i="1"/>
  <c r="AI50" i="1" s="1"/>
  <c r="AF51" i="1"/>
  <c r="AF50" i="1" s="1"/>
  <c r="AC51" i="1"/>
  <c r="Z51" i="1"/>
  <c r="W51" i="1"/>
  <c r="T51" i="1"/>
  <c r="Q51" i="1"/>
  <c r="Q50" i="1" s="1"/>
  <c r="N51" i="1"/>
  <c r="N50" i="1" s="1"/>
  <c r="K51" i="1"/>
  <c r="K50" i="1" s="1"/>
  <c r="H51" i="1"/>
  <c r="H50" i="1" s="1"/>
  <c r="E51" i="1"/>
  <c r="AL49" i="1"/>
  <c r="AI49" i="1"/>
  <c r="AF49" i="1"/>
  <c r="AC49" i="1"/>
  <c r="Z49" i="1"/>
  <c r="W49" i="1"/>
  <c r="T49" i="1"/>
  <c r="Q49" i="1"/>
  <c r="N49" i="1"/>
  <c r="K49" i="1"/>
  <c r="H49" i="1"/>
  <c r="E49" i="1"/>
  <c r="AL45" i="1"/>
  <c r="AI45" i="1"/>
  <c r="AF45" i="1"/>
  <c r="AC45" i="1"/>
  <c r="Z45" i="1"/>
  <c r="W45" i="1"/>
  <c r="T45" i="1"/>
  <c r="Q45" i="1"/>
  <c r="N45" i="1"/>
  <c r="K45" i="1"/>
  <c r="H45" i="1"/>
  <c r="E45" i="1"/>
  <c r="AL44" i="1"/>
  <c r="AI44" i="1"/>
  <c r="AF44" i="1"/>
  <c r="AC44" i="1"/>
  <c r="Z44" i="1"/>
  <c r="W44" i="1"/>
  <c r="T44" i="1"/>
  <c r="Q44" i="1"/>
  <c r="N44" i="1"/>
  <c r="K44" i="1"/>
  <c r="H44" i="1"/>
  <c r="E44" i="1"/>
  <c r="AL43" i="1"/>
  <c r="AI43" i="1"/>
  <c r="AF43" i="1"/>
  <c r="AC43" i="1"/>
  <c r="Z43" i="1"/>
  <c r="W43" i="1"/>
  <c r="T43" i="1"/>
  <c r="Q43" i="1"/>
  <c r="N43" i="1"/>
  <c r="K43" i="1"/>
  <c r="H43" i="1"/>
  <c r="E43" i="1"/>
  <c r="AL42" i="1"/>
  <c r="AI42" i="1"/>
  <c r="AF42" i="1"/>
  <c r="AC42" i="1"/>
  <c r="Z42" i="1"/>
  <c r="W42" i="1"/>
  <c r="T42" i="1"/>
  <c r="Q42" i="1"/>
  <c r="N42" i="1"/>
  <c r="K42" i="1"/>
  <c r="H42" i="1"/>
  <c r="E42" i="1"/>
  <c r="AL41" i="1"/>
  <c r="AI41" i="1"/>
  <c r="AF41" i="1"/>
  <c r="AC41" i="1"/>
  <c r="Z41" i="1"/>
  <c r="W41" i="1"/>
  <c r="T41" i="1"/>
  <c r="Q41" i="1"/>
  <c r="N41" i="1"/>
  <c r="K41" i="1"/>
  <c r="H41" i="1"/>
  <c r="E41" i="1"/>
  <c r="AL40" i="1"/>
  <c r="AI40" i="1"/>
  <c r="AF40" i="1"/>
  <c r="AC40" i="1"/>
  <c r="AC39" i="1" s="1"/>
  <c r="Z40" i="1"/>
  <c r="Z39" i="1" s="1"/>
  <c r="W40" i="1"/>
  <c r="T40" i="1"/>
  <c r="T39" i="1" s="1"/>
  <c r="Q40" i="1"/>
  <c r="N40" i="1"/>
  <c r="K40" i="1"/>
  <c r="H40" i="1"/>
  <c r="E40" i="1"/>
  <c r="E39" i="1" s="1"/>
  <c r="D50" i="1"/>
  <c r="F50" i="1"/>
  <c r="G50" i="1"/>
  <c r="I50" i="1"/>
  <c r="J50" i="1"/>
  <c r="L50" i="1"/>
  <c r="M50" i="1"/>
  <c r="O50" i="1"/>
  <c r="P50" i="1"/>
  <c r="R50" i="1"/>
  <c r="S50" i="1"/>
  <c r="U50" i="1"/>
  <c r="V50" i="1"/>
  <c r="X50" i="1"/>
  <c r="Y50" i="1"/>
  <c r="AA50" i="1"/>
  <c r="AB50" i="1"/>
  <c r="AD50" i="1"/>
  <c r="AE50" i="1"/>
  <c r="AG50" i="1"/>
  <c r="AH50" i="1"/>
  <c r="AJ50" i="1"/>
  <c r="AK50" i="1"/>
  <c r="AL38" i="1"/>
  <c r="AL37" i="1"/>
  <c r="AL33" i="1"/>
  <c r="AL32" i="1"/>
  <c r="AL31" i="1"/>
  <c r="AL30" i="1"/>
  <c r="AL29" i="1"/>
  <c r="AI38" i="1"/>
  <c r="AI37" i="1"/>
  <c r="AI33" i="1"/>
  <c r="AI32" i="1"/>
  <c r="AI31" i="1"/>
  <c r="AI30" i="1"/>
  <c r="AI29" i="1"/>
  <c r="AF38" i="1"/>
  <c r="AF37" i="1"/>
  <c r="AF33" i="1"/>
  <c r="AF32" i="1"/>
  <c r="AF31" i="1"/>
  <c r="AF30" i="1"/>
  <c r="AF29" i="1"/>
  <c r="AC38" i="1"/>
  <c r="AC37" i="1"/>
  <c r="AC33" i="1"/>
  <c r="AC32" i="1"/>
  <c r="AC31" i="1"/>
  <c r="AC30" i="1"/>
  <c r="AC29" i="1"/>
  <c r="Z38" i="1"/>
  <c r="Z37" i="1"/>
  <c r="Z33" i="1"/>
  <c r="Z32" i="1"/>
  <c r="Z31" i="1"/>
  <c r="Z30" i="1"/>
  <c r="Z29" i="1"/>
  <c r="W38" i="1"/>
  <c r="W37" i="1"/>
  <c r="W33" i="1"/>
  <c r="W32" i="1"/>
  <c r="W31" i="1"/>
  <c r="W30" i="1"/>
  <c r="W29" i="1"/>
  <c r="T38" i="1"/>
  <c r="T37" i="1"/>
  <c r="T33" i="1"/>
  <c r="T32" i="1"/>
  <c r="T31" i="1"/>
  <c r="T30" i="1"/>
  <c r="T29" i="1"/>
  <c r="Q38" i="1"/>
  <c r="Q37" i="1"/>
  <c r="Q33" i="1"/>
  <c r="Q32" i="1"/>
  <c r="Q31" i="1"/>
  <c r="Q30" i="1"/>
  <c r="Q29" i="1"/>
  <c r="N38" i="1"/>
  <c r="N37" i="1"/>
  <c r="N33" i="1"/>
  <c r="N32" i="1"/>
  <c r="N31" i="1"/>
  <c r="N30" i="1"/>
  <c r="N29" i="1"/>
  <c r="K38" i="1"/>
  <c r="K37" i="1"/>
  <c r="K33" i="1"/>
  <c r="K32" i="1"/>
  <c r="K31" i="1"/>
  <c r="K30" i="1"/>
  <c r="K29" i="1"/>
  <c r="H38" i="1"/>
  <c r="H37" i="1"/>
  <c r="H33" i="1"/>
  <c r="H32" i="1"/>
  <c r="H31" i="1"/>
  <c r="H30" i="1"/>
  <c r="H29" i="1"/>
  <c r="D39" i="1"/>
  <c r="F39" i="1"/>
  <c r="G39" i="1"/>
  <c r="I39" i="1"/>
  <c r="J39" i="1"/>
  <c r="L39" i="1"/>
  <c r="M39" i="1"/>
  <c r="O39" i="1"/>
  <c r="P39" i="1"/>
  <c r="R39" i="1"/>
  <c r="S39" i="1"/>
  <c r="U39" i="1"/>
  <c r="V39" i="1"/>
  <c r="W39" i="1"/>
  <c r="X39" i="1"/>
  <c r="Y39" i="1"/>
  <c r="AA39" i="1"/>
  <c r="AB39" i="1"/>
  <c r="AD39" i="1"/>
  <c r="AE39" i="1"/>
  <c r="AG39" i="1"/>
  <c r="AH39" i="1"/>
  <c r="AJ39" i="1"/>
  <c r="AK39" i="1"/>
  <c r="E38" i="1"/>
  <c r="E37" i="1"/>
  <c r="E33" i="1"/>
  <c r="E32" i="1"/>
  <c r="E31" i="1"/>
  <c r="E30" i="1"/>
  <c r="E29" i="1"/>
  <c r="D28" i="1"/>
  <c r="F28" i="1"/>
  <c r="G28" i="1"/>
  <c r="I28" i="1"/>
  <c r="J28" i="1"/>
  <c r="L28" i="1"/>
  <c r="M28" i="1"/>
  <c r="O28" i="1"/>
  <c r="P28" i="1"/>
  <c r="R28" i="1"/>
  <c r="S28" i="1"/>
  <c r="U28" i="1"/>
  <c r="V28" i="1"/>
  <c r="X28" i="1"/>
  <c r="Y28" i="1"/>
  <c r="AA28" i="1"/>
  <c r="AB28" i="1"/>
  <c r="AD28" i="1"/>
  <c r="AE28" i="1"/>
  <c r="AG28" i="1"/>
  <c r="AH28" i="1"/>
  <c r="AJ28" i="1"/>
  <c r="AK28" i="1"/>
  <c r="AK21" i="1"/>
  <c r="AJ21" i="1"/>
  <c r="AJ24" i="1" s="1"/>
  <c r="AJ25" i="1" s="1"/>
  <c r="AH21" i="1"/>
  <c r="AG21" i="1"/>
  <c r="AG24" i="1" s="1"/>
  <c r="AG25" i="1" s="1"/>
  <c r="AE21" i="1"/>
  <c r="AD21" i="1"/>
  <c r="AD24" i="1" s="1"/>
  <c r="AD25" i="1" s="1"/>
  <c r="AB21" i="1"/>
  <c r="AA21" i="1"/>
  <c r="AA24" i="1" s="1"/>
  <c r="AA25" i="1" s="1"/>
  <c r="Y21" i="1"/>
  <c r="X21" i="1"/>
  <c r="X24" i="1" s="1"/>
  <c r="X25" i="1" s="1"/>
  <c r="V21" i="1"/>
  <c r="U21" i="1"/>
  <c r="U24" i="1" s="1"/>
  <c r="U25" i="1" s="1"/>
  <c r="S21" i="1"/>
  <c r="R21" i="1"/>
  <c r="R24" i="1" s="1"/>
  <c r="R25" i="1" s="1"/>
  <c r="P21" i="1"/>
  <c r="M21" i="1"/>
  <c r="J21" i="1"/>
  <c r="G21" i="1"/>
  <c r="F21" i="1"/>
  <c r="F24" i="1" s="1"/>
  <c r="F25" i="1" s="1"/>
  <c r="I21" i="1"/>
  <c r="I24" i="1" s="1"/>
  <c r="I25" i="1" s="1"/>
  <c r="L21" i="1"/>
  <c r="L24" i="1" s="1"/>
  <c r="L25" i="1" s="1"/>
  <c r="O21" i="1"/>
  <c r="O24" i="1" s="1"/>
  <c r="O25" i="1" s="1"/>
  <c r="C11" i="1"/>
  <c r="C50" i="1"/>
  <c r="C39" i="1"/>
  <c r="C28" i="1"/>
  <c r="C59" i="8" l="1"/>
  <c r="E85" i="8"/>
  <c r="E84" i="8" s="1"/>
  <c r="E59" i="8"/>
  <c r="C37" i="8"/>
  <c r="H39" i="1"/>
  <c r="AF39" i="1"/>
  <c r="T50" i="1"/>
  <c r="E48" i="8"/>
  <c r="W50" i="1"/>
  <c r="T28" i="1"/>
  <c r="AI39" i="1"/>
  <c r="N39" i="1"/>
  <c r="AL39" i="1"/>
  <c r="Z50" i="1"/>
  <c r="K39" i="1"/>
  <c r="Q39" i="1"/>
  <c r="E50" i="1"/>
  <c r="AC50" i="1"/>
  <c r="E38" i="8"/>
  <c r="E37" i="8" s="1"/>
  <c r="E26" i="8"/>
  <c r="C77" i="8"/>
  <c r="C48" i="8"/>
  <c r="E77" i="8"/>
  <c r="C26" i="8"/>
  <c r="C92" i="8" s="1"/>
  <c r="C90" i="8"/>
  <c r="E91" i="8"/>
  <c r="E90" i="8" s="1"/>
  <c r="C22" i="8"/>
  <c r="AC21" i="1"/>
  <c r="AF28" i="1"/>
  <c r="Z28" i="1"/>
  <c r="AL28" i="1"/>
  <c r="W21" i="1"/>
  <c r="H28" i="1"/>
  <c r="K28" i="1"/>
  <c r="N28" i="1"/>
  <c r="Q28" i="1"/>
  <c r="W28" i="1"/>
  <c r="AC28" i="1"/>
  <c r="AI28" i="1"/>
  <c r="K21" i="1"/>
  <c r="N21" i="1"/>
  <c r="Q21" i="1"/>
  <c r="T21" i="1"/>
  <c r="Z21" i="1"/>
  <c r="AF21" i="1"/>
  <c r="AI21" i="1"/>
  <c r="E21" i="1"/>
  <c r="AL21" i="1"/>
  <c r="Q7" i="4"/>
  <c r="Q6" i="4"/>
  <c r="Q8" i="4"/>
  <c r="Q9" i="4"/>
  <c r="Q10" i="4"/>
  <c r="D94" i="1"/>
  <c r="D96" i="1" s="1"/>
  <c r="D98" i="1" s="1"/>
  <c r="E86" i="1"/>
  <c r="E79" i="1"/>
  <c r="E70" i="1"/>
  <c r="E61" i="1"/>
  <c r="F11" i="1"/>
  <c r="D11" i="1"/>
  <c r="H21" i="1"/>
  <c r="E28" i="1"/>
  <c r="AI86" i="1"/>
  <c r="AC86" i="1"/>
  <c r="W86" i="1"/>
  <c r="Q86" i="1"/>
  <c r="K86" i="1"/>
  <c r="AL86" i="1"/>
  <c r="AF86" i="1"/>
  <c r="Z86" i="1"/>
  <c r="T86" i="1"/>
  <c r="N86" i="1"/>
  <c r="H86" i="1"/>
  <c r="AI79" i="1"/>
  <c r="AC79" i="1"/>
  <c r="W79" i="1"/>
  <c r="Q79" i="1"/>
  <c r="K79" i="1"/>
  <c r="AL79" i="1"/>
  <c r="AF79" i="1"/>
  <c r="Z79" i="1"/>
  <c r="T79" i="1"/>
  <c r="N79" i="1"/>
  <c r="H79" i="1"/>
  <c r="AI70" i="1"/>
  <c r="AC70" i="1"/>
  <c r="W70" i="1"/>
  <c r="Q70" i="1"/>
  <c r="K70" i="1"/>
  <c r="AL70" i="1"/>
  <c r="AF70" i="1"/>
  <c r="Z70" i="1"/>
  <c r="T70" i="1"/>
  <c r="N70" i="1"/>
  <c r="H70" i="1"/>
  <c r="AI61" i="1"/>
  <c r="AC61" i="1"/>
  <c r="W61" i="1"/>
  <c r="Q61" i="1"/>
  <c r="K61" i="1"/>
  <c r="AL61" i="1"/>
  <c r="AF61" i="1"/>
  <c r="Z61" i="1"/>
  <c r="T61" i="1"/>
  <c r="N61" i="1"/>
  <c r="H61" i="1"/>
  <c r="E24" i="1"/>
  <c r="E25" i="1" s="1"/>
  <c r="K24" i="1"/>
  <c r="K25" i="1" s="1"/>
  <c r="Q24" i="1"/>
  <c r="Q25" i="1" s="1"/>
  <c r="W24" i="1"/>
  <c r="W25" i="1" s="1"/>
  <c r="AC24" i="1"/>
  <c r="AC25" i="1" s="1"/>
  <c r="AI24" i="1"/>
  <c r="AI25" i="1" s="1"/>
  <c r="H24" i="1"/>
  <c r="H25" i="1" s="1"/>
  <c r="N24" i="1"/>
  <c r="N25" i="1" s="1"/>
  <c r="T24" i="1"/>
  <c r="T25" i="1" s="1"/>
  <c r="Z24" i="1"/>
  <c r="Z25" i="1" s="1"/>
  <c r="AF24" i="1"/>
  <c r="AF25" i="1" s="1"/>
  <c r="AL24" i="1"/>
  <c r="AL25" i="1" s="1"/>
  <c r="AK94" i="1"/>
  <c r="AK96" i="1" s="1"/>
  <c r="AG94" i="1"/>
  <c r="AG96" i="1" s="1"/>
  <c r="AE94" i="1"/>
  <c r="AE96" i="1" s="1"/>
  <c r="AA94" i="1"/>
  <c r="AA96" i="1" s="1"/>
  <c r="Y94" i="1"/>
  <c r="Y96" i="1" s="1"/>
  <c r="U94" i="1"/>
  <c r="U96" i="1" s="1"/>
  <c r="S94" i="1"/>
  <c r="S96" i="1" s="1"/>
  <c r="O94" i="1"/>
  <c r="O96" i="1" s="1"/>
  <c r="M94" i="1"/>
  <c r="M96" i="1" s="1"/>
  <c r="I94" i="1"/>
  <c r="I96" i="1" s="1"/>
  <c r="G94" i="1"/>
  <c r="G96" i="1" s="1"/>
  <c r="AJ94" i="1"/>
  <c r="AJ96" i="1" s="1"/>
  <c r="AH94" i="1"/>
  <c r="AH96" i="1" s="1"/>
  <c r="AD94" i="1"/>
  <c r="AD96" i="1" s="1"/>
  <c r="AB94" i="1"/>
  <c r="AB96" i="1" s="1"/>
  <c r="X94" i="1"/>
  <c r="X96" i="1" s="1"/>
  <c r="V94" i="1"/>
  <c r="V96" i="1" s="1"/>
  <c r="R94" i="1"/>
  <c r="R96" i="1" s="1"/>
  <c r="P94" i="1"/>
  <c r="P96" i="1" s="1"/>
  <c r="L94" i="1"/>
  <c r="L96" i="1" s="1"/>
  <c r="J94" i="1"/>
  <c r="J96" i="1" s="1"/>
  <c r="F94" i="1"/>
  <c r="F96" i="1" s="1"/>
  <c r="E92" i="8" l="1"/>
  <c r="C23" i="8"/>
  <c r="C94" i="8" s="1"/>
  <c r="E22" i="8"/>
  <c r="E23" i="8" s="1"/>
  <c r="W94" i="1"/>
  <c r="W96" i="1" s="1"/>
  <c r="T94" i="1"/>
  <c r="T96" i="1" s="1"/>
  <c r="AI94" i="1"/>
  <c r="AI96" i="1" s="1"/>
  <c r="AL94" i="1"/>
  <c r="AL96" i="1" s="1"/>
  <c r="Q94" i="1"/>
  <c r="Q96" i="1" s="1"/>
  <c r="AC94" i="1"/>
  <c r="AC96" i="1" s="1"/>
  <c r="N94" i="1"/>
  <c r="N96" i="1" s="1"/>
  <c r="AF94" i="1"/>
  <c r="AF96" i="1" s="1"/>
  <c r="K94" i="1"/>
  <c r="K96" i="1" s="1"/>
  <c r="Z94" i="1"/>
  <c r="Z96" i="1" s="1"/>
  <c r="H94" i="1"/>
  <c r="H96" i="1" s="1"/>
  <c r="G98" i="1"/>
  <c r="J98" i="1" s="1"/>
  <c r="M98" i="1" s="1"/>
  <c r="P98" i="1" s="1"/>
  <c r="S98" i="1" s="1"/>
  <c r="V98" i="1" s="1"/>
  <c r="Y98" i="1" s="1"/>
  <c r="AB98" i="1" s="1"/>
  <c r="AE98" i="1" s="1"/>
  <c r="AH98" i="1" s="1"/>
  <c r="AK98" i="1" s="1"/>
  <c r="Q11" i="4"/>
  <c r="Q12" i="4" s="1"/>
  <c r="I11" i="1"/>
  <c r="G11" i="1"/>
  <c r="C94" i="1"/>
  <c r="C96" i="1" s="1"/>
  <c r="C98" i="1" s="1"/>
  <c r="F98" i="1" s="1"/>
  <c r="I98" i="1" s="1"/>
  <c r="L98" i="1" s="1"/>
  <c r="O98" i="1" s="1"/>
  <c r="R98" i="1" s="1"/>
  <c r="U98" i="1" s="1"/>
  <c r="X98" i="1" s="1"/>
  <c r="AA98" i="1" s="1"/>
  <c r="AD98" i="1" s="1"/>
  <c r="AG98" i="1" s="1"/>
  <c r="AJ98" i="1" s="1"/>
  <c r="E94" i="1"/>
  <c r="E96" i="1" s="1"/>
  <c r="E98" i="1" s="1"/>
  <c r="E94" i="8" l="1"/>
  <c r="R3" i="4"/>
  <c r="R5" i="4"/>
  <c r="R7" i="4"/>
  <c r="R9" i="4"/>
  <c r="R6" i="4"/>
  <c r="R8" i="4"/>
  <c r="R10" i="4"/>
  <c r="R4" i="4"/>
  <c r="L11" i="1"/>
  <c r="J11" i="1"/>
  <c r="H98" i="1"/>
  <c r="K98" i="1" s="1"/>
  <c r="N98" i="1" s="1"/>
  <c r="Q98" i="1" s="1"/>
  <c r="T98" i="1" s="1"/>
  <c r="W98" i="1" s="1"/>
  <c r="Z98" i="1" s="1"/>
  <c r="AC98" i="1" s="1"/>
  <c r="AF98" i="1" s="1"/>
  <c r="AI98" i="1" s="1"/>
  <c r="AL98" i="1" s="1"/>
  <c r="R11" i="4" l="1"/>
  <c r="O11" i="1"/>
  <c r="M11" i="1"/>
  <c r="R11" i="1" l="1"/>
  <c r="P11" i="1"/>
  <c r="U11" i="1" l="1"/>
  <c r="S11" i="1"/>
  <c r="X11" i="1" l="1"/>
  <c r="V11" i="1"/>
  <c r="AA11" i="1" l="1"/>
  <c r="Y11" i="1"/>
  <c r="AD11" i="1" l="1"/>
  <c r="AB11" i="1"/>
  <c r="AG11" i="1" l="1"/>
  <c r="AE11" i="1"/>
  <c r="AJ11" i="1" l="1"/>
  <c r="AK11" i="1" s="1"/>
  <c r="AH11" i="1"/>
</calcChain>
</file>

<file path=xl/comments1.xml><?xml version="1.0" encoding="utf-8"?>
<comments xmlns="http://schemas.openxmlformats.org/spreadsheetml/2006/main">
  <authors>
    <author>Camila Campos Gonçalves</author>
  </authors>
  <commentList>
    <comment ref="F22" authorId="0" shapeId="0">
      <text>
        <r>
          <rPr>
            <b/>
            <sz val="8"/>
            <color indexed="81"/>
            <rFont val="Tahoma"/>
            <family val="2"/>
          </rPr>
          <t>Considera o saldo inicial</t>
        </r>
      </text>
    </comment>
  </commentList>
</comments>
</file>

<file path=xl/comments2.xml><?xml version="1.0" encoding="utf-8"?>
<comments xmlns="http://schemas.openxmlformats.org/spreadsheetml/2006/main">
  <authors>
    <author>Camila Campos Gonçalves</author>
  </authors>
  <commentList>
    <comment ref="C21" authorId="0" shapeId="0">
      <text>
        <r>
          <rPr>
            <b/>
            <sz val="8"/>
            <color indexed="81"/>
            <rFont val="Tahoma"/>
            <family val="2"/>
          </rPr>
          <t>Considera o saldo inicial</t>
        </r>
      </text>
    </comment>
    <comment ref="D21" authorId="0" shapeId="0">
      <text>
        <r>
          <rPr>
            <b/>
            <sz val="8"/>
            <color indexed="81"/>
            <rFont val="Tahoma"/>
            <family val="2"/>
          </rPr>
          <t>Considera o saldo inicial</t>
        </r>
      </text>
    </comment>
  </commentList>
</comments>
</file>

<file path=xl/sharedStrings.xml><?xml version="1.0" encoding="utf-8"?>
<sst xmlns="http://schemas.openxmlformats.org/spreadsheetml/2006/main" count="265" uniqueCount="73">
  <si>
    <t>Extras</t>
  </si>
  <si>
    <t>Moradia</t>
  </si>
  <si>
    <t>Aluguel</t>
  </si>
  <si>
    <t>Condomínio + IPTU</t>
  </si>
  <si>
    <t>Luz</t>
  </si>
  <si>
    <t>Gás</t>
  </si>
  <si>
    <t>Telefone + celular</t>
  </si>
  <si>
    <t>TV a cabo + internet</t>
  </si>
  <si>
    <t>Transporte</t>
  </si>
  <si>
    <t>Combustível</t>
  </si>
  <si>
    <t>IPVA</t>
  </si>
  <si>
    <t>Seguro do carro</t>
  </si>
  <si>
    <t>Ônibus</t>
  </si>
  <si>
    <t>Metrô</t>
  </si>
  <si>
    <t>Taxis</t>
  </si>
  <si>
    <t>Remédios</t>
  </si>
  <si>
    <t>Transporte e alimentação na escola</t>
  </si>
  <si>
    <t>Conforto e lazer</t>
  </si>
  <si>
    <t>Diarista</t>
  </si>
  <si>
    <t>Restaurantes</t>
  </si>
  <si>
    <t>Viagens</t>
  </si>
  <si>
    <t>Provisão para lazer</t>
  </si>
  <si>
    <t>Supermercado</t>
  </si>
  <si>
    <t>Provisão para troca de carro</t>
  </si>
  <si>
    <t>Prestações em geral</t>
  </si>
  <si>
    <t>Provisão para manutenção e reforma</t>
  </si>
  <si>
    <t>Custos financeiros e bancários</t>
  </si>
  <si>
    <t>Outros</t>
  </si>
  <si>
    <t>Outros custos/ margem de segurança</t>
  </si>
  <si>
    <t>Poupança/renúncia ao consumo</t>
  </si>
  <si>
    <t>Salário líquido A</t>
  </si>
  <si>
    <t>Salário líquido  B</t>
  </si>
  <si>
    <t>Salário líquido  C</t>
  </si>
  <si>
    <t>COOPERATIVA:</t>
  </si>
  <si>
    <t>ASSOCIADO:</t>
  </si>
  <si>
    <t>Plano de saúde</t>
  </si>
  <si>
    <t>Material escolar</t>
  </si>
  <si>
    <t>Escola/Faculdade</t>
  </si>
  <si>
    <t>Cursos</t>
  </si>
  <si>
    <t>Esportes/academia</t>
  </si>
  <si>
    <t>Babá</t>
  </si>
  <si>
    <t>Saúde, educação, segurança</t>
  </si>
  <si>
    <t>RECEITAS LÍQUIDAS</t>
  </si>
  <si>
    <t>Total Desembolsos</t>
  </si>
  <si>
    <t>DATA:</t>
  </si>
  <si>
    <t>Total Receitas Líquidas</t>
  </si>
  <si>
    <t>TOTAL GERAL</t>
  </si>
  <si>
    <t>INVESTIMENTOS</t>
  </si>
  <si>
    <t>Total Investimentos</t>
  </si>
  <si>
    <t>Orçado</t>
  </si>
  <si>
    <t>Realizado</t>
  </si>
  <si>
    <t>Diferença</t>
  </si>
  <si>
    <t>Manutenção casa (provisão)</t>
  </si>
  <si>
    <t>Manutenção carro (provisão)</t>
  </si>
  <si>
    <t>Comida dia a dia (sem ticket alimentação)</t>
  </si>
  <si>
    <t>% RENÚNCIA PARA INVESTIMENTOS:</t>
  </si>
  <si>
    <t>SALDO INICIAL:</t>
  </si>
  <si>
    <t>SALDO ACUMULADO</t>
  </si>
  <si>
    <t>DESPESAS</t>
  </si>
  <si>
    <t>Taxas de serviço</t>
  </si>
  <si>
    <t>DOC / TED</t>
  </si>
  <si>
    <t>Despesas de capital</t>
  </si>
  <si>
    <t>Alimentação, higiene e vestuário</t>
  </si>
  <si>
    <t>Roupas</t>
  </si>
  <si>
    <t>Lavanderia</t>
  </si>
  <si>
    <t>Conserto roupas</t>
  </si>
  <si>
    <t>CATEGORIA</t>
  </si>
  <si>
    <t>TOTAL R$</t>
  </si>
  <si>
    <t>TOTAL %</t>
  </si>
  <si>
    <t>TOTAL</t>
  </si>
  <si>
    <t>RESUMO ANUAL</t>
  </si>
  <si>
    <t>Planilha de Planejamento Financeiro</t>
  </si>
  <si>
    <t xml:space="preserve">                                    Planilha de Planejamento Financeiro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</si>
</sst>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-&quot;R$&quot;\ * #,##0.00_-;\-&quot;R$&quot;\ * #,##0.00_-;_-&quot;R$&quot;\ * &quot;-&quot;??_-;_-@_-"/>
    <numFmt numFmtId="164" formatCode="&quot;R$ &quot;#,##0"/>
    <numFmt numFmtId="165" formatCode="0.0%"/>
    <numFmt numFmtId="166" formatCode="#,##0.00_ ;[Red]\-#,##0.00\ "/>
    <numFmt numFmtId="167" formatCode="dd/mm/yy;@"/>
  </numFmts>
  <fonts count="25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6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rgb="FF006600"/>
      <name val="Calibri"/>
      <family val="2"/>
      <scheme val="minor"/>
    </font>
    <font>
      <b/>
      <sz val="20"/>
      <color rgb="FF00660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17"/>
      <color theme="0"/>
      <name val="Calibri"/>
      <family val="2"/>
      <scheme val="minor"/>
    </font>
    <font>
      <sz val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</fills>
  <borders count="57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theme="0" tint="-0.3499862666707357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/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/>
      <diagonal/>
    </border>
    <border>
      <left style="thin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34998626667073579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theme="0" tint="-0.34998626667073579"/>
      </right>
      <top/>
      <bottom style="thin">
        <color indexed="64"/>
      </bottom>
      <diagonal/>
    </border>
    <border>
      <left style="thin">
        <color theme="0" tint="-0.34998626667073579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/>
      <top style="medium">
        <color theme="0" tint="-0.499984740745262"/>
      </top>
      <bottom style="thin">
        <color theme="0" tint="-0.34998626667073579"/>
      </bottom>
      <diagonal/>
    </border>
    <border>
      <left/>
      <right/>
      <top style="medium">
        <color theme="0" tint="-0.499984740745262"/>
      </top>
      <bottom style="thin">
        <color theme="0" tint="-0.34998626667073579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thin">
        <color theme="0" tint="-0.34998626667073579"/>
      </bottom>
      <diagonal/>
    </border>
    <border>
      <left/>
      <right style="medium">
        <color theme="0" tint="-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theme="0" tint="-0.499984740745262"/>
      </bottom>
      <diagonal/>
    </border>
    <border>
      <left/>
      <right/>
      <top style="thin">
        <color theme="0" tint="-0.34998626667073579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thin">
        <color theme="0" tint="-0.34998626667073579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thin">
        <color theme="0" tint="-0.34998626667073579"/>
      </bottom>
      <diagonal/>
    </border>
    <border>
      <left style="medium">
        <color theme="0" tint="-0.499984740745262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 tint="-0.499984740745262"/>
      </left>
      <right/>
      <top style="thin">
        <color theme="0" tint="-0.34998626667073579"/>
      </top>
      <bottom style="medium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34998626667073579"/>
      </top>
      <bottom style="thin">
        <color indexed="64"/>
      </bottom>
      <diagonal/>
    </border>
    <border>
      <left style="medium">
        <color theme="0" tint="-0.499984740745262"/>
      </left>
      <right style="thin">
        <color theme="0" tint="-0.14996795556505021"/>
      </right>
      <top style="medium">
        <color theme="0" tint="-0.499984740745262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theme="0" tint="-0.499984740745262"/>
      </top>
      <bottom style="thin">
        <color indexed="64"/>
      </bottom>
      <diagonal/>
    </border>
    <border>
      <left style="thin">
        <color theme="0" tint="-0.14996795556505021"/>
      </left>
      <right style="medium">
        <color theme="0" tint="-0.499984740745262"/>
      </right>
      <top style="medium">
        <color theme="0" tint="-0.499984740745262"/>
      </top>
      <bottom style="thin">
        <color indexed="64"/>
      </bottom>
      <diagonal/>
    </border>
    <border>
      <left style="medium">
        <color theme="0" tint="-0.499984740745262"/>
      </left>
      <right style="thin">
        <color theme="0" tint="-0.14996795556505021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14996795556505021"/>
      </left>
      <right style="medium">
        <color theme="0" tint="-0.499984740745262"/>
      </right>
      <top style="thin">
        <color indexed="64"/>
      </top>
      <bottom style="thin">
        <color theme="0" tint="-0.34998626667073579"/>
      </bottom>
      <diagonal/>
    </border>
    <border>
      <left style="medium">
        <color theme="0" tint="-0.499984740745262"/>
      </left>
      <right style="thin">
        <color theme="0" tint="-0.1499679555650502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 style="medium">
        <color theme="0" tint="-0.499984740745262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 tint="-0.499984740745262"/>
      </left>
      <right style="thin">
        <color theme="0" tint="-0.14996795556505021"/>
      </right>
      <top style="thin">
        <color theme="0" tint="-0.34998626667073579"/>
      </top>
      <bottom style="thin">
        <color indexed="64"/>
      </bottom>
      <diagonal/>
    </border>
    <border>
      <left style="thin">
        <color theme="0" tint="-0.14996795556505021"/>
      </left>
      <right style="medium">
        <color theme="0" tint="-0.499984740745262"/>
      </right>
      <top style="thin">
        <color theme="0" tint="-0.34998626667073579"/>
      </top>
      <bottom style="thin">
        <color indexed="64"/>
      </bottom>
      <diagonal/>
    </border>
    <border>
      <left style="medium">
        <color theme="0" tint="-0.499984740745262"/>
      </left>
      <right style="thin">
        <color theme="0" tint="-0.14996795556505021"/>
      </right>
      <top/>
      <bottom style="medium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medium">
        <color theme="0" tint="-0.499984740745262"/>
      </bottom>
      <diagonal/>
    </border>
    <border>
      <left style="thin">
        <color theme="0" tint="-0.14996795556505021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 style="medium">
        <color theme="0" tint="-0.499984740745262"/>
      </right>
      <top/>
      <bottom style="medium">
        <color theme="0" tint="-0.499984740745262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</cellStyleXfs>
  <cellXfs count="272">
    <xf numFmtId="0" fontId="0" fillId="0" borderId="0" xfId="0"/>
    <xf numFmtId="0" fontId="0" fillId="2" borderId="0" xfId="0" applyFill="1"/>
    <xf numFmtId="0" fontId="1" fillId="2" borderId="0" xfId="0" applyFont="1" applyFill="1" applyBorder="1"/>
    <xf numFmtId="0" fontId="0" fillId="2" borderId="0" xfId="0" applyFill="1" applyBorder="1" applyAlignment="1">
      <alignment horizontal="center"/>
    </xf>
    <xf numFmtId="16" fontId="0" fillId="2" borderId="0" xfId="0" applyNumberFormat="1" applyFill="1" applyBorder="1" applyAlignment="1">
      <alignment horizontal="center"/>
    </xf>
    <xf numFmtId="0" fontId="5" fillId="0" borderId="0" xfId="0" applyFont="1"/>
    <xf numFmtId="0" fontId="5" fillId="0" borderId="14" xfId="0" applyFont="1" applyBorder="1" applyAlignment="1">
      <alignment horizontal="left" indent="2"/>
    </xf>
    <xf numFmtId="0" fontId="5" fillId="0" borderId="16" xfId="0" applyFont="1" applyBorder="1" applyAlignment="1">
      <alignment horizontal="left" indent="2"/>
    </xf>
    <xf numFmtId="0" fontId="5" fillId="0" borderId="18" xfId="0" applyFont="1" applyBorder="1" applyAlignment="1">
      <alignment horizontal="left" indent="2"/>
    </xf>
    <xf numFmtId="0" fontId="4" fillId="0" borderId="13" xfId="0" applyFont="1" applyBorder="1" applyAlignment="1">
      <alignment horizontal="left" indent="2"/>
    </xf>
    <xf numFmtId="0" fontId="5" fillId="0" borderId="3" xfId="0" applyFont="1" applyBorder="1" applyAlignment="1">
      <alignment horizontal="left" indent="2"/>
    </xf>
    <xf numFmtId="0" fontId="5" fillId="0" borderId="0" xfId="0" applyFont="1" applyBorder="1"/>
    <xf numFmtId="0" fontId="4" fillId="0" borderId="14" xfId="0" applyFont="1" applyFill="1" applyBorder="1" applyAlignment="1">
      <alignment horizontal="left" indent="2"/>
    </xf>
    <xf numFmtId="0" fontId="5" fillId="0" borderId="16" xfId="0" applyFont="1" applyBorder="1" applyAlignment="1">
      <alignment horizontal="left" indent="3"/>
    </xf>
    <xf numFmtId="0" fontId="4" fillId="0" borderId="20" xfId="0" applyFont="1" applyFill="1" applyBorder="1" applyAlignment="1">
      <alignment horizontal="left" indent="2"/>
    </xf>
    <xf numFmtId="0" fontId="5" fillId="0" borderId="16" xfId="0" applyFont="1" applyFill="1" applyBorder="1" applyAlignment="1">
      <alignment horizontal="left" indent="3"/>
    </xf>
    <xf numFmtId="0" fontId="4" fillId="0" borderId="16" xfId="0" applyFont="1" applyFill="1" applyBorder="1" applyAlignment="1">
      <alignment horizontal="left" indent="2"/>
    </xf>
    <xf numFmtId="0" fontId="5" fillId="0" borderId="21" xfId="0" applyFont="1" applyBorder="1" applyAlignment="1">
      <alignment horizontal="left" indent="2"/>
    </xf>
    <xf numFmtId="166" fontId="5" fillId="0" borderId="21" xfId="0" applyNumberFormat="1" applyFont="1" applyBorder="1" applyAlignment="1"/>
    <xf numFmtId="0" fontId="5" fillId="2" borderId="0" xfId="0" applyFont="1" applyFill="1" applyBorder="1" applyAlignment="1"/>
    <xf numFmtId="14" fontId="5" fillId="2" borderId="0" xfId="0" applyNumberFormat="1" applyFont="1" applyFill="1" applyBorder="1" applyAlignment="1"/>
    <xf numFmtId="166" fontId="6" fillId="0" borderId="4" xfId="0" applyNumberFormat="1" applyFont="1" applyBorder="1" applyAlignment="1"/>
    <xf numFmtId="166" fontId="6" fillId="0" borderId="15" xfId="0" applyNumberFormat="1" applyFont="1" applyBorder="1" applyAlignment="1"/>
    <xf numFmtId="166" fontId="6" fillId="0" borderId="1" xfId="0" applyNumberFormat="1" applyFont="1" applyBorder="1" applyAlignment="1"/>
    <xf numFmtId="166" fontId="6" fillId="0" borderId="17" xfId="0" applyNumberFormat="1" applyFont="1" applyBorder="1" applyAlignment="1"/>
    <xf numFmtId="166" fontId="6" fillId="0" borderId="6" xfId="0" applyNumberFormat="1" applyFont="1" applyBorder="1" applyAlignment="1"/>
    <xf numFmtId="166" fontId="6" fillId="0" borderId="19" xfId="0" applyNumberFormat="1" applyFont="1" applyBorder="1" applyAlignment="1"/>
    <xf numFmtId="166" fontId="7" fillId="0" borderId="5" xfId="0" applyNumberFormat="1" applyFont="1" applyBorder="1" applyAlignment="1"/>
    <xf numFmtId="166" fontId="7" fillId="0" borderId="12" xfId="0" applyNumberFormat="1" applyFont="1" applyBorder="1" applyAlignment="1"/>
    <xf numFmtId="166" fontId="6" fillId="0" borderId="3" xfId="0" applyNumberFormat="1" applyFont="1" applyBorder="1" applyAlignment="1"/>
    <xf numFmtId="166" fontId="6" fillId="0" borderId="2" xfId="0" applyNumberFormat="1" applyFont="1" applyBorder="1" applyAlignment="1"/>
    <xf numFmtId="166" fontId="7" fillId="0" borderId="23" xfId="0" applyNumberFormat="1" applyFont="1" applyBorder="1" applyAlignment="1"/>
    <xf numFmtId="166" fontId="6" fillId="0" borderId="7" xfId="0" applyNumberFormat="1" applyFont="1" applyBorder="1" applyAlignment="1"/>
    <xf numFmtId="166" fontId="6" fillId="0" borderId="1" xfId="0" applyNumberFormat="1" applyFont="1" applyFill="1" applyBorder="1" applyAlignment="1"/>
    <xf numFmtId="166" fontId="6" fillId="0" borderId="2" xfId="0" applyNumberFormat="1" applyFont="1" applyFill="1" applyBorder="1" applyAlignment="1"/>
    <xf numFmtId="166" fontId="6" fillId="0" borderId="17" xfId="0" applyNumberFormat="1" applyFont="1" applyFill="1" applyBorder="1" applyAlignment="1"/>
    <xf numFmtId="164" fontId="1" fillId="0" borderId="0" xfId="0" applyNumberFormat="1" applyFont="1" applyFill="1" applyBorder="1"/>
    <xf numFmtId="165" fontId="1" fillId="0" borderId="0" xfId="0" applyNumberFormat="1" applyFont="1" applyFill="1" applyBorder="1" applyAlignment="1"/>
    <xf numFmtId="164" fontId="4" fillId="0" borderId="0" xfId="0" applyNumberFormat="1" applyFont="1" applyFill="1" applyBorder="1"/>
    <xf numFmtId="10" fontId="5" fillId="2" borderId="0" xfId="1" applyNumberFormat="1" applyFont="1" applyFill="1" applyBorder="1" applyAlignment="1">
      <alignment vertical="center"/>
    </xf>
    <xf numFmtId="166" fontId="5" fillId="2" borderId="0" xfId="0" applyNumberFormat="1" applyFont="1" applyFill="1" applyBorder="1" applyAlignment="1">
      <alignment vertical="center"/>
    </xf>
    <xf numFmtId="14" fontId="5" fillId="2" borderId="0" xfId="0" applyNumberFormat="1" applyFont="1" applyFill="1" applyBorder="1" applyAlignment="1">
      <alignment vertical="center"/>
    </xf>
    <xf numFmtId="166" fontId="6" fillId="3" borderId="4" xfId="0" applyNumberFormat="1" applyFont="1" applyFill="1" applyBorder="1" applyAlignment="1"/>
    <xf numFmtId="166" fontId="6" fillId="3" borderId="1" xfId="0" applyNumberFormat="1" applyFont="1" applyFill="1" applyBorder="1" applyAlignment="1"/>
    <xf numFmtId="166" fontId="6" fillId="3" borderId="6" xfId="0" applyNumberFormat="1" applyFont="1" applyFill="1" applyBorder="1" applyAlignment="1"/>
    <xf numFmtId="166" fontId="6" fillId="3" borderId="2" xfId="0" applyNumberFormat="1" applyFont="1" applyFill="1" applyBorder="1" applyAlignment="1"/>
    <xf numFmtId="166" fontId="0" fillId="0" borderId="0" xfId="0" applyNumberFormat="1"/>
    <xf numFmtId="0" fontId="4" fillId="0" borderId="0" xfId="0" applyFont="1" applyFill="1" applyBorder="1" applyAlignment="1">
      <alignment horizontal="left" vertical="center" indent="1"/>
    </xf>
    <xf numFmtId="167" fontId="5" fillId="0" borderId="0" xfId="0" applyNumberFormat="1" applyFont="1" applyFill="1" applyBorder="1" applyAlignment="1">
      <alignment horizontal="left" vertical="center" indent="1"/>
    </xf>
    <xf numFmtId="14" fontId="5" fillId="0" borderId="0" xfId="0" applyNumberFormat="1" applyFont="1" applyFill="1" applyBorder="1" applyAlignment="1">
      <alignment vertical="center"/>
    </xf>
    <xf numFmtId="0" fontId="4" fillId="0" borderId="0" xfId="0" applyFont="1" applyFill="1" applyBorder="1" applyAlignment="1"/>
    <xf numFmtId="14" fontId="5" fillId="0" borderId="0" xfId="0" applyNumberFormat="1" applyFont="1" applyFill="1" applyBorder="1" applyAlignment="1">
      <alignment horizontal="right" vertical="center" indent="1"/>
    </xf>
    <xf numFmtId="0" fontId="0" fillId="0" borderId="0" xfId="0" applyFill="1"/>
    <xf numFmtId="14" fontId="5" fillId="0" borderId="0" xfId="0" applyNumberFormat="1" applyFont="1" applyFill="1" applyBorder="1" applyAlignment="1"/>
    <xf numFmtId="0" fontId="0" fillId="0" borderId="0" xfId="0" applyFill="1" applyBorder="1"/>
    <xf numFmtId="0" fontId="11" fillId="0" borderId="0" xfId="0" applyFont="1" applyFill="1"/>
    <xf numFmtId="0" fontId="11" fillId="0" borderId="0" xfId="0" applyFont="1" applyFill="1" applyBorder="1"/>
    <xf numFmtId="0" fontId="5" fillId="0" borderId="0" xfId="0" applyFont="1" applyFill="1" applyBorder="1" applyAlignment="1">
      <alignment horizontal="left" vertical="center" indent="1"/>
    </xf>
    <xf numFmtId="0" fontId="5" fillId="0" borderId="0" xfId="0" applyFont="1" applyFill="1" applyBorder="1" applyAlignment="1">
      <alignment vertical="center"/>
    </xf>
    <xf numFmtId="10" fontId="5" fillId="0" borderId="0" xfId="1" applyNumberFormat="1" applyFont="1" applyFill="1" applyBorder="1" applyAlignment="1">
      <alignment vertical="center"/>
    </xf>
    <xf numFmtId="166" fontId="5" fillId="0" borderId="0" xfId="0" applyNumberFormat="1" applyFont="1" applyFill="1" applyBorder="1" applyAlignment="1">
      <alignment vertical="center"/>
    </xf>
    <xf numFmtId="167" fontId="5" fillId="0" borderId="0" xfId="0" applyNumberFormat="1" applyFont="1" applyFill="1" applyBorder="1" applyAlignment="1">
      <alignment horizontal="right" vertical="center" indent="1"/>
    </xf>
    <xf numFmtId="10" fontId="5" fillId="0" borderId="0" xfId="1" applyNumberFormat="1" applyFont="1" applyFill="1" applyBorder="1" applyAlignment="1">
      <alignment horizontal="right" vertical="center" indent="1"/>
    </xf>
    <xf numFmtId="166" fontId="10" fillId="0" borderId="0" xfId="0" applyNumberFormat="1" applyFont="1" applyFill="1" applyBorder="1" applyAlignment="1">
      <alignment horizontal="right" vertical="center" indent="1"/>
    </xf>
    <xf numFmtId="0" fontId="5" fillId="4" borderId="30" xfId="0" applyFont="1" applyFill="1" applyBorder="1" applyAlignment="1">
      <alignment horizontal="left" vertical="center" indent="1"/>
    </xf>
    <xf numFmtId="0" fontId="5" fillId="4" borderId="31" xfId="0" applyFont="1" applyFill="1" applyBorder="1" applyAlignment="1">
      <alignment horizontal="left" vertical="center" indent="1"/>
    </xf>
    <xf numFmtId="0" fontId="5" fillId="4" borderId="32" xfId="0" applyFont="1" applyFill="1" applyBorder="1" applyAlignment="1">
      <alignment vertical="center"/>
    </xf>
    <xf numFmtId="0" fontId="5" fillId="4" borderId="2" xfId="0" applyFont="1" applyFill="1" applyBorder="1" applyAlignment="1">
      <alignment horizontal="left" vertical="center" indent="1"/>
    </xf>
    <xf numFmtId="0" fontId="5" fillId="4" borderId="3" xfId="0" applyFont="1" applyFill="1" applyBorder="1" applyAlignment="1">
      <alignment horizontal="left" vertical="center" indent="1"/>
    </xf>
    <xf numFmtId="0" fontId="5" fillId="4" borderId="33" xfId="0" applyFont="1" applyFill="1" applyBorder="1" applyAlignment="1">
      <alignment vertical="center"/>
    </xf>
    <xf numFmtId="167" fontId="5" fillId="4" borderId="2" xfId="0" applyNumberFormat="1" applyFont="1" applyFill="1" applyBorder="1" applyAlignment="1">
      <alignment horizontal="right" vertical="center" indent="1"/>
    </xf>
    <xf numFmtId="167" fontId="5" fillId="4" borderId="3" xfId="0" applyNumberFormat="1" applyFont="1" applyFill="1" applyBorder="1" applyAlignment="1">
      <alignment horizontal="right" vertical="center" indent="1"/>
    </xf>
    <xf numFmtId="10" fontId="5" fillId="4" borderId="2" xfId="1" applyNumberFormat="1" applyFont="1" applyFill="1" applyBorder="1" applyAlignment="1">
      <alignment horizontal="right" vertical="center" indent="1"/>
    </xf>
    <xf numFmtId="10" fontId="5" fillId="4" borderId="3" xfId="1" applyNumberFormat="1" applyFont="1" applyFill="1" applyBorder="1" applyAlignment="1">
      <alignment horizontal="right" vertical="center" indent="1"/>
    </xf>
    <xf numFmtId="166" fontId="10" fillId="4" borderId="34" xfId="0" applyNumberFormat="1" applyFont="1" applyFill="1" applyBorder="1" applyAlignment="1">
      <alignment horizontal="right" vertical="center" indent="1"/>
    </xf>
    <xf numFmtId="166" fontId="10" fillId="4" borderId="35" xfId="0" applyNumberFormat="1" applyFont="1" applyFill="1" applyBorder="1" applyAlignment="1">
      <alignment horizontal="right" vertical="center" indent="1"/>
    </xf>
    <xf numFmtId="14" fontId="5" fillId="4" borderId="36" xfId="0" applyNumberFormat="1" applyFont="1" applyFill="1" applyBorder="1" applyAlignment="1">
      <alignment vertical="center"/>
    </xf>
    <xf numFmtId="0" fontId="13" fillId="0" borderId="0" xfId="0" applyFont="1" applyAlignment="1">
      <alignment horizontal="center" vertical="center"/>
    </xf>
    <xf numFmtId="166" fontId="6" fillId="0" borderId="40" xfId="2" applyNumberFormat="1" applyFont="1" applyBorder="1" applyAlignment="1">
      <alignment horizontal="right" vertical="center" indent="1"/>
    </xf>
    <xf numFmtId="166" fontId="6" fillId="0" borderId="41" xfId="2" applyNumberFormat="1" applyFont="1" applyBorder="1" applyAlignment="1">
      <alignment horizontal="right" vertical="center" indent="1"/>
    </xf>
    <xf numFmtId="0" fontId="2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166" fontId="6" fillId="3" borderId="4" xfId="0" applyNumberFormat="1" applyFont="1" applyFill="1" applyBorder="1" applyAlignment="1" applyProtection="1">
      <protection locked="0"/>
    </xf>
    <xf numFmtId="166" fontId="6" fillId="3" borderId="1" xfId="0" applyNumberFormat="1" applyFont="1" applyFill="1" applyBorder="1" applyAlignment="1" applyProtection="1">
      <protection locked="0"/>
    </xf>
    <xf numFmtId="166" fontId="6" fillId="3" borderId="2" xfId="0" applyNumberFormat="1" applyFont="1" applyFill="1" applyBorder="1" applyAlignment="1" applyProtection="1">
      <protection locked="0"/>
    </xf>
    <xf numFmtId="0" fontId="5" fillId="3" borderId="16" xfId="0" applyFont="1" applyFill="1" applyBorder="1" applyAlignment="1" applyProtection="1">
      <alignment horizontal="left" indent="3"/>
      <protection locked="0"/>
    </xf>
    <xf numFmtId="0" fontId="5" fillId="3" borderId="16" xfId="0" applyFont="1" applyFill="1" applyBorder="1" applyAlignment="1" applyProtection="1">
      <alignment horizontal="left" indent="2"/>
      <protection locked="0"/>
    </xf>
    <xf numFmtId="0" fontId="5" fillId="3" borderId="18" xfId="0" applyFont="1" applyFill="1" applyBorder="1" applyAlignment="1" applyProtection="1">
      <alignment horizontal="left" indent="2"/>
      <protection locked="0"/>
    </xf>
    <xf numFmtId="167" fontId="5" fillId="4" borderId="3" xfId="0" applyNumberFormat="1" applyFont="1" applyFill="1" applyBorder="1" applyAlignment="1" applyProtection="1">
      <alignment horizontal="right" vertical="center" indent="1"/>
      <protection locked="0"/>
    </xf>
    <xf numFmtId="10" fontId="5" fillId="4" borderId="3" xfId="1" applyNumberFormat="1" applyFont="1" applyFill="1" applyBorder="1" applyAlignment="1" applyProtection="1">
      <alignment horizontal="right" vertical="center" indent="1"/>
      <protection locked="0"/>
    </xf>
    <xf numFmtId="166" fontId="10" fillId="4" borderId="35" xfId="0" applyNumberFormat="1" applyFont="1" applyFill="1" applyBorder="1" applyAlignment="1" applyProtection="1">
      <alignment horizontal="right" vertical="center" indent="1"/>
      <protection locked="0"/>
    </xf>
    <xf numFmtId="0" fontId="5" fillId="0" borderId="0" xfId="0" applyFont="1" applyFill="1" applyBorder="1" applyAlignment="1" applyProtection="1">
      <alignment horizontal="left" vertical="center" indent="1"/>
      <protection locked="0"/>
    </xf>
    <xf numFmtId="167" fontId="5" fillId="0" borderId="0" xfId="0" applyNumberFormat="1" applyFont="1" applyFill="1" applyBorder="1" applyAlignment="1" applyProtection="1">
      <alignment horizontal="right" vertical="center" indent="1"/>
      <protection locked="0"/>
    </xf>
    <xf numFmtId="10" fontId="5" fillId="0" borderId="0" xfId="1" applyNumberFormat="1" applyFont="1" applyFill="1" applyBorder="1" applyAlignment="1" applyProtection="1">
      <alignment horizontal="right" vertical="center" indent="1"/>
      <protection locked="0"/>
    </xf>
    <xf numFmtId="166" fontId="10" fillId="0" borderId="0" xfId="0" applyNumberFormat="1" applyFont="1" applyFill="1" applyBorder="1" applyAlignment="1" applyProtection="1">
      <alignment horizontal="right" vertical="center" indent="1"/>
      <protection locked="0"/>
    </xf>
    <xf numFmtId="0" fontId="0" fillId="0" borderId="0" xfId="0" applyBorder="1"/>
    <xf numFmtId="0" fontId="6" fillId="0" borderId="45" xfId="0" applyFont="1" applyBorder="1" applyAlignment="1">
      <alignment horizontal="left" vertical="center" indent="1"/>
    </xf>
    <xf numFmtId="10" fontId="6" fillId="0" borderId="46" xfId="1" applyNumberFormat="1" applyFont="1" applyBorder="1" applyAlignment="1">
      <alignment horizontal="center" vertical="center"/>
    </xf>
    <xf numFmtId="0" fontId="6" fillId="0" borderId="47" xfId="0" applyFont="1" applyBorder="1" applyAlignment="1">
      <alignment horizontal="left" vertical="center" indent="1"/>
    </xf>
    <xf numFmtId="10" fontId="6" fillId="0" borderId="48" xfId="1" applyNumberFormat="1" applyFont="1" applyBorder="1" applyAlignment="1">
      <alignment horizontal="center" vertical="center"/>
    </xf>
    <xf numFmtId="0" fontId="6" fillId="0" borderId="49" xfId="0" applyFont="1" applyBorder="1" applyAlignment="1">
      <alignment horizontal="left" vertical="center" indent="1"/>
    </xf>
    <xf numFmtId="10" fontId="6" fillId="0" borderId="50" xfId="1" applyNumberFormat="1" applyFont="1" applyBorder="1" applyAlignment="1">
      <alignment horizontal="center" vertical="center"/>
    </xf>
    <xf numFmtId="0" fontId="0" fillId="2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5" fillId="0" borderId="0" xfId="0" applyFont="1" applyFill="1" applyBorder="1" applyAlignment="1" applyProtection="1">
      <alignment vertical="center"/>
      <protection locked="0"/>
    </xf>
    <xf numFmtId="10" fontId="5" fillId="0" borderId="0" xfId="1" applyNumberFormat="1" applyFont="1" applyFill="1" applyBorder="1" applyAlignment="1" applyProtection="1">
      <alignment vertical="center"/>
      <protection locked="0"/>
    </xf>
    <xf numFmtId="10" fontId="5" fillId="2" borderId="0" xfId="1" applyNumberFormat="1" applyFont="1" applyFill="1" applyBorder="1" applyAlignment="1" applyProtection="1">
      <alignment vertical="center"/>
      <protection locked="0"/>
    </xf>
    <xf numFmtId="0" fontId="5" fillId="2" borderId="0" xfId="0" applyFont="1" applyFill="1" applyBorder="1" applyAlignment="1" applyProtection="1">
      <protection locked="0"/>
    </xf>
    <xf numFmtId="0" fontId="5" fillId="4" borderId="33" xfId="0" applyFont="1" applyFill="1" applyBorder="1" applyAlignment="1" applyProtection="1">
      <alignment vertical="center"/>
      <protection locked="0"/>
    </xf>
    <xf numFmtId="166" fontId="5" fillId="0" borderId="0" xfId="0" applyNumberFormat="1" applyFont="1" applyFill="1" applyBorder="1" applyAlignment="1" applyProtection="1">
      <alignment vertical="center"/>
      <protection locked="0"/>
    </xf>
    <xf numFmtId="166" fontId="5" fillId="2" borderId="0" xfId="0" applyNumberFormat="1" applyFont="1" applyFill="1" applyBorder="1" applyAlignment="1" applyProtection="1">
      <alignment vertical="center"/>
      <protection locked="0"/>
    </xf>
    <xf numFmtId="0" fontId="4" fillId="0" borderId="0" xfId="0" applyFont="1" applyFill="1" applyBorder="1" applyAlignment="1" applyProtection="1">
      <protection locked="0"/>
    </xf>
    <xf numFmtId="14" fontId="5" fillId="0" borderId="0" xfId="0" applyNumberFormat="1" applyFont="1" applyFill="1" applyBorder="1" applyAlignment="1" applyProtection="1">
      <alignment horizontal="right" vertical="center" indent="1"/>
      <protection locked="0"/>
    </xf>
    <xf numFmtId="14" fontId="5" fillId="0" borderId="0" xfId="0" applyNumberFormat="1" applyFont="1" applyFill="1" applyBorder="1" applyAlignment="1" applyProtection="1">
      <alignment vertical="center"/>
      <protection locked="0"/>
    </xf>
    <xf numFmtId="14" fontId="5" fillId="2" borderId="0" xfId="0" applyNumberFormat="1" applyFont="1" applyFill="1" applyBorder="1" applyAlignment="1" applyProtection="1">
      <alignment vertical="center"/>
      <protection locked="0"/>
    </xf>
    <xf numFmtId="14" fontId="5" fillId="2" borderId="0" xfId="0" applyNumberFormat="1" applyFont="1" applyFill="1" applyBorder="1" applyAlignment="1" applyProtection="1">
      <protection locked="0"/>
    </xf>
    <xf numFmtId="164" fontId="1" fillId="0" borderId="0" xfId="0" applyNumberFormat="1" applyFont="1" applyFill="1" applyBorder="1" applyProtection="1">
      <protection locked="0"/>
    </xf>
    <xf numFmtId="0" fontId="0" fillId="0" borderId="0" xfId="0" applyFill="1" applyProtection="1">
      <protection locked="0"/>
    </xf>
    <xf numFmtId="14" fontId="5" fillId="0" borderId="0" xfId="0" applyNumberFormat="1" applyFont="1" applyFill="1" applyBorder="1" applyAlignment="1" applyProtection="1">
      <protection locked="0"/>
    </xf>
    <xf numFmtId="0" fontId="2" fillId="0" borderId="0" xfId="0" applyFont="1" applyFill="1" applyBorder="1" applyAlignment="1" applyProtection="1">
      <alignment horizontal="left" vertical="center"/>
      <protection locked="0"/>
    </xf>
    <xf numFmtId="14" fontId="5" fillId="4" borderId="36" xfId="0" applyNumberFormat="1" applyFont="1" applyFill="1" applyBorder="1" applyAlignment="1" applyProtection="1">
      <alignment vertical="center"/>
      <protection locked="0"/>
    </xf>
    <xf numFmtId="0" fontId="11" fillId="0" borderId="0" xfId="0" applyFont="1" applyFill="1" applyBorder="1" applyProtection="1">
      <protection locked="0"/>
    </xf>
    <xf numFmtId="0" fontId="11" fillId="0" borderId="0" xfId="0" applyFont="1" applyFill="1" applyProtection="1">
      <protection locked="0"/>
    </xf>
    <xf numFmtId="0" fontId="4" fillId="0" borderId="0" xfId="0" applyFont="1" applyFill="1" applyBorder="1" applyAlignment="1" applyProtection="1">
      <alignment horizontal="left" vertical="center" indent="1"/>
      <protection locked="0"/>
    </xf>
    <xf numFmtId="167" fontId="5" fillId="0" borderId="0" xfId="0" applyNumberFormat="1" applyFont="1" applyFill="1" applyBorder="1" applyAlignment="1" applyProtection="1">
      <alignment horizontal="left" vertical="center" indent="1"/>
      <protection locked="0"/>
    </xf>
    <xf numFmtId="0" fontId="1" fillId="2" borderId="0" xfId="0" applyFont="1" applyFill="1" applyBorder="1" applyProtection="1">
      <protection locked="0"/>
    </xf>
    <xf numFmtId="16" fontId="0" fillId="2" borderId="0" xfId="0" applyNumberFormat="1" applyFill="1" applyBorder="1" applyAlignment="1" applyProtection="1">
      <alignment horizontal="center"/>
      <protection locked="0"/>
    </xf>
    <xf numFmtId="0" fontId="0" fillId="2" borderId="0" xfId="0" applyFill="1" applyBorder="1" applyAlignment="1" applyProtection="1">
      <alignment horizontal="center"/>
      <protection locked="0"/>
    </xf>
    <xf numFmtId="165" fontId="1" fillId="0" borderId="0" xfId="0" applyNumberFormat="1" applyFont="1" applyFill="1" applyBorder="1" applyAlignment="1" applyProtection="1">
      <protection locked="0"/>
    </xf>
    <xf numFmtId="0" fontId="5" fillId="0" borderId="0" xfId="0" applyFont="1" applyProtection="1">
      <protection locked="0"/>
    </xf>
    <xf numFmtId="164" fontId="4" fillId="0" borderId="0" xfId="0" applyNumberFormat="1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left" vertical="center"/>
      <protection locked="0"/>
    </xf>
    <xf numFmtId="0" fontId="5" fillId="0" borderId="14" xfId="0" applyFont="1" applyBorder="1" applyAlignment="1" applyProtection="1">
      <alignment horizontal="left" indent="2"/>
      <protection locked="0"/>
    </xf>
    <xf numFmtId="166" fontId="6" fillId="0" borderId="4" xfId="0" applyNumberFormat="1" applyFont="1" applyBorder="1" applyAlignment="1" applyProtection="1">
      <protection locked="0"/>
    </xf>
    <xf numFmtId="166" fontId="6" fillId="0" borderId="15" xfId="0" applyNumberFormat="1" applyFont="1" applyBorder="1" applyAlignment="1" applyProtection="1">
      <protection locked="0"/>
    </xf>
    <xf numFmtId="0" fontId="5" fillId="0" borderId="16" xfId="0" applyFont="1" applyBorder="1" applyAlignment="1" applyProtection="1">
      <alignment horizontal="left" indent="2"/>
      <protection locked="0"/>
    </xf>
    <xf numFmtId="166" fontId="6" fillId="0" borderId="1" xfId="0" applyNumberFormat="1" applyFont="1" applyBorder="1" applyAlignment="1" applyProtection="1">
      <protection locked="0"/>
    </xf>
    <xf numFmtId="166" fontId="6" fillId="0" borderId="17" xfId="0" applyNumberFormat="1" applyFont="1" applyBorder="1" applyAlignment="1" applyProtection="1">
      <protection locked="0"/>
    </xf>
    <xf numFmtId="166" fontId="6" fillId="3" borderId="6" xfId="0" applyNumberFormat="1" applyFont="1" applyFill="1" applyBorder="1" applyAlignment="1" applyProtection="1">
      <protection locked="0"/>
    </xf>
    <xf numFmtId="166" fontId="6" fillId="0" borderId="6" xfId="0" applyNumberFormat="1" applyFont="1" applyBorder="1" applyAlignment="1" applyProtection="1">
      <protection locked="0"/>
    </xf>
    <xf numFmtId="166" fontId="6" fillId="0" borderId="19" xfId="0" applyNumberFormat="1" applyFont="1" applyBorder="1" applyAlignment="1" applyProtection="1">
      <protection locked="0"/>
    </xf>
    <xf numFmtId="0" fontId="4" fillId="0" borderId="13" xfId="0" applyFont="1" applyBorder="1" applyAlignment="1" applyProtection="1">
      <alignment horizontal="left" indent="2"/>
      <protection locked="0"/>
    </xf>
    <xf numFmtId="166" fontId="7" fillId="0" borderId="5" xfId="0" applyNumberFormat="1" applyFont="1" applyBorder="1" applyAlignment="1" applyProtection="1">
      <protection locked="0"/>
    </xf>
    <xf numFmtId="166" fontId="7" fillId="0" borderId="12" xfId="0" applyNumberFormat="1" applyFont="1" applyBorder="1" applyAlignment="1" applyProtection="1">
      <protection locked="0"/>
    </xf>
    <xf numFmtId="0" fontId="5" fillId="0" borderId="3" xfId="0" applyFont="1" applyBorder="1" applyAlignment="1" applyProtection="1">
      <alignment horizontal="left" indent="2"/>
      <protection locked="0"/>
    </xf>
    <xf numFmtId="166" fontId="6" fillId="0" borderId="3" xfId="0" applyNumberFormat="1" applyFont="1" applyBorder="1" applyAlignment="1" applyProtection="1">
      <protection locked="0"/>
    </xf>
    <xf numFmtId="0" fontId="5" fillId="0" borderId="0" xfId="0" applyFont="1" applyBorder="1" applyProtection="1">
      <protection locked="0"/>
    </xf>
    <xf numFmtId="166" fontId="6" fillId="0" borderId="2" xfId="0" applyNumberFormat="1" applyFont="1" applyBorder="1" applyAlignment="1" applyProtection="1">
      <protection locked="0"/>
    </xf>
    <xf numFmtId="166" fontId="7" fillId="0" borderId="23" xfId="0" applyNumberFormat="1" applyFont="1" applyBorder="1" applyAlignment="1" applyProtection="1">
      <protection locked="0"/>
    </xf>
    <xf numFmtId="0" fontId="4" fillId="0" borderId="14" xfId="0" applyFont="1" applyFill="1" applyBorder="1" applyAlignment="1" applyProtection="1">
      <alignment horizontal="left" indent="2"/>
      <protection locked="0"/>
    </xf>
    <xf numFmtId="166" fontId="6" fillId="0" borderId="7" xfId="0" applyNumberFormat="1" applyFont="1" applyBorder="1" applyAlignment="1" applyProtection="1">
      <protection locked="0"/>
    </xf>
    <xf numFmtId="0" fontId="5" fillId="0" borderId="16" xfId="0" applyFont="1" applyBorder="1" applyAlignment="1" applyProtection="1">
      <alignment horizontal="left" indent="3"/>
      <protection locked="0"/>
    </xf>
    <xf numFmtId="0" fontId="4" fillId="0" borderId="20" xfId="0" applyFont="1" applyFill="1" applyBorder="1" applyAlignment="1" applyProtection="1">
      <alignment horizontal="left" indent="2"/>
      <protection locked="0"/>
    </xf>
    <xf numFmtId="166" fontId="6" fillId="0" borderId="1" xfId="0" applyNumberFormat="1" applyFont="1" applyFill="1" applyBorder="1" applyAlignment="1" applyProtection="1">
      <protection locked="0"/>
    </xf>
    <xf numFmtId="166" fontId="6" fillId="0" borderId="2" xfId="0" applyNumberFormat="1" applyFont="1" applyFill="1" applyBorder="1" applyAlignment="1" applyProtection="1">
      <protection locked="0"/>
    </xf>
    <xf numFmtId="166" fontId="6" fillId="0" borderId="17" xfId="0" applyNumberFormat="1" applyFont="1" applyFill="1" applyBorder="1" applyAlignment="1" applyProtection="1">
      <protection locked="0"/>
    </xf>
    <xf numFmtId="0" fontId="5" fillId="0" borderId="16" xfId="0" applyFont="1" applyFill="1" applyBorder="1" applyAlignment="1" applyProtection="1">
      <alignment horizontal="left" indent="3"/>
      <protection locked="0"/>
    </xf>
    <xf numFmtId="0" fontId="4" fillId="0" borderId="16" xfId="0" applyFont="1" applyFill="1" applyBorder="1" applyAlignment="1" applyProtection="1">
      <alignment horizontal="left" indent="2"/>
      <protection locked="0"/>
    </xf>
    <xf numFmtId="0" fontId="5" fillId="0" borderId="21" xfId="0" applyFont="1" applyBorder="1" applyAlignment="1" applyProtection="1">
      <alignment horizontal="left" indent="2"/>
      <protection locked="0"/>
    </xf>
    <xf numFmtId="166" fontId="5" fillId="0" borderId="21" xfId="0" applyNumberFormat="1" applyFont="1" applyBorder="1" applyAlignment="1" applyProtection="1">
      <protection locked="0"/>
    </xf>
    <xf numFmtId="166" fontId="0" fillId="0" borderId="0" xfId="0" applyNumberFormat="1" applyProtection="1">
      <protection locked="0"/>
    </xf>
    <xf numFmtId="0" fontId="14" fillId="0" borderId="0" xfId="0" applyFont="1" applyFill="1" applyBorder="1" applyAlignment="1" applyProtection="1">
      <alignment vertical="center" wrapText="1"/>
      <protection locked="0"/>
    </xf>
    <xf numFmtId="0" fontId="5" fillId="2" borderId="0" xfId="0" applyFont="1" applyFill="1" applyBorder="1" applyAlignment="1">
      <alignment horizontal="left" vertical="center" indent="1"/>
    </xf>
    <xf numFmtId="0" fontId="19" fillId="5" borderId="37" xfId="0" applyFont="1" applyFill="1" applyBorder="1" applyAlignment="1">
      <alignment horizontal="left" vertical="center" indent="1"/>
    </xf>
    <xf numFmtId="0" fontId="19" fillId="5" borderId="38" xfId="0" applyFont="1" applyFill="1" applyBorder="1" applyAlignment="1">
      <alignment horizontal="left" vertical="center" indent="1"/>
    </xf>
    <xf numFmtId="0" fontId="19" fillId="5" borderId="39" xfId="0" applyFont="1" applyFill="1" applyBorder="1" applyAlignment="1">
      <alignment horizontal="left" vertical="center" indent="1"/>
    </xf>
    <xf numFmtId="17" fontId="19" fillId="5" borderId="8" xfId="0" applyNumberFormat="1" applyFont="1" applyFill="1" applyBorder="1" applyAlignment="1">
      <alignment horizontal="center" vertical="center"/>
    </xf>
    <xf numFmtId="17" fontId="19" fillId="5" borderId="9" xfId="0" applyNumberFormat="1" applyFont="1" applyFill="1" applyBorder="1" applyAlignment="1">
      <alignment horizontal="center" vertical="center"/>
    </xf>
    <xf numFmtId="17" fontId="19" fillId="5" borderId="10" xfId="0" applyNumberFormat="1" applyFont="1" applyFill="1" applyBorder="1" applyAlignment="1">
      <alignment vertical="center"/>
    </xf>
    <xf numFmtId="17" fontId="19" fillId="5" borderId="8" xfId="0" applyNumberFormat="1" applyFont="1" applyFill="1" applyBorder="1" applyAlignment="1">
      <alignment horizontal="center"/>
    </xf>
    <xf numFmtId="17" fontId="19" fillId="5" borderId="9" xfId="0" applyNumberFormat="1" applyFont="1" applyFill="1" applyBorder="1" applyAlignment="1">
      <alignment horizontal="center"/>
    </xf>
    <xf numFmtId="17" fontId="19" fillId="5" borderId="10" xfId="0" applyNumberFormat="1" applyFont="1" applyFill="1" applyBorder="1" applyAlignment="1">
      <alignment horizontal="center"/>
    </xf>
    <xf numFmtId="17" fontId="19" fillId="5" borderId="25" xfId="0" applyNumberFormat="1" applyFont="1" applyFill="1" applyBorder="1" applyAlignment="1">
      <alignment horizontal="center"/>
    </xf>
    <xf numFmtId="17" fontId="19" fillId="5" borderId="28" xfId="0" applyNumberFormat="1" applyFont="1" applyFill="1" applyBorder="1" applyAlignment="1">
      <alignment vertical="center"/>
    </xf>
    <xf numFmtId="17" fontId="19" fillId="5" borderId="22" xfId="0" applyNumberFormat="1" applyFont="1" applyFill="1" applyBorder="1" applyAlignment="1">
      <alignment vertical="center"/>
    </xf>
    <xf numFmtId="17" fontId="19" fillId="5" borderId="27" xfId="0" applyNumberFormat="1" applyFont="1" applyFill="1" applyBorder="1" applyAlignment="1">
      <alignment vertical="center"/>
    </xf>
    <xf numFmtId="17" fontId="19" fillId="5" borderId="28" xfId="0" applyNumberFormat="1" applyFont="1" applyFill="1" applyBorder="1" applyAlignment="1">
      <alignment horizontal="center"/>
    </xf>
    <xf numFmtId="17" fontId="19" fillId="5" borderId="22" xfId="0" applyNumberFormat="1" applyFont="1" applyFill="1" applyBorder="1" applyAlignment="1">
      <alignment horizontal="center"/>
    </xf>
    <xf numFmtId="17" fontId="19" fillId="5" borderId="27" xfId="0" applyNumberFormat="1" applyFont="1" applyFill="1" applyBorder="1" applyAlignment="1">
      <alignment horizontal="center"/>
    </xf>
    <xf numFmtId="17" fontId="19" fillId="5" borderId="29" xfId="0" applyNumberFormat="1" applyFont="1" applyFill="1" applyBorder="1" applyAlignment="1">
      <alignment horizontal="center"/>
    </xf>
    <xf numFmtId="0" fontId="19" fillId="5" borderId="24" xfId="0" applyFont="1" applyFill="1" applyBorder="1"/>
    <xf numFmtId="0" fontId="19" fillId="5" borderId="26" xfId="0" applyFont="1" applyFill="1" applyBorder="1"/>
    <xf numFmtId="0" fontId="19" fillId="5" borderId="11" xfId="0" applyFont="1" applyFill="1" applyBorder="1" applyAlignment="1">
      <alignment horizontal="left" indent="1"/>
    </xf>
    <xf numFmtId="164" fontId="20" fillId="5" borderId="5" xfId="0" applyNumberFormat="1" applyFont="1" applyFill="1" applyBorder="1"/>
    <xf numFmtId="164" fontId="20" fillId="5" borderId="23" xfId="0" applyNumberFormat="1" applyFont="1" applyFill="1" applyBorder="1"/>
    <xf numFmtId="164" fontId="20" fillId="5" borderId="12" xfId="0" applyNumberFormat="1" applyFont="1" applyFill="1" applyBorder="1"/>
    <xf numFmtId="166" fontId="20" fillId="5" borderId="5" xfId="0" applyNumberFormat="1" applyFont="1" applyFill="1" applyBorder="1" applyAlignment="1"/>
    <xf numFmtId="166" fontId="20" fillId="5" borderId="23" xfId="0" applyNumberFormat="1" applyFont="1" applyFill="1" applyBorder="1" applyAlignment="1"/>
    <xf numFmtId="166" fontId="20" fillId="5" borderId="12" xfId="0" applyNumberFormat="1" applyFont="1" applyFill="1" applyBorder="1" applyAlignment="1"/>
    <xf numFmtId="0" fontId="15" fillId="5" borderId="13" xfId="0" applyFont="1" applyFill="1" applyBorder="1" applyAlignment="1">
      <alignment horizontal="left" indent="1"/>
    </xf>
    <xf numFmtId="166" fontId="15" fillId="5" borderId="5" xfId="0" applyNumberFormat="1" applyFont="1" applyFill="1" applyBorder="1" applyAlignment="1"/>
    <xf numFmtId="166" fontId="15" fillId="5" borderId="23" xfId="0" applyNumberFormat="1" applyFont="1" applyFill="1" applyBorder="1" applyAlignment="1"/>
    <xf numFmtId="166" fontId="15" fillId="5" borderId="12" xfId="0" applyNumberFormat="1" applyFont="1" applyFill="1" applyBorder="1" applyAlignment="1"/>
    <xf numFmtId="0" fontId="19" fillId="5" borderId="37" xfId="0" applyFont="1" applyFill="1" applyBorder="1" applyAlignment="1" applyProtection="1">
      <alignment horizontal="left" vertical="center" indent="1"/>
    </xf>
    <xf numFmtId="0" fontId="19" fillId="5" borderId="38" xfId="0" applyFont="1" applyFill="1" applyBorder="1" applyAlignment="1" applyProtection="1">
      <alignment horizontal="left" vertical="center" indent="1"/>
    </xf>
    <xf numFmtId="0" fontId="19" fillId="5" borderId="39" xfId="0" applyFont="1" applyFill="1" applyBorder="1" applyAlignment="1" applyProtection="1">
      <alignment horizontal="left" vertical="center" indent="1"/>
    </xf>
    <xf numFmtId="0" fontId="5" fillId="5" borderId="26" xfId="0" applyFont="1" applyFill="1" applyBorder="1" applyProtection="1">
      <protection locked="0"/>
    </xf>
    <xf numFmtId="17" fontId="4" fillId="5" borderId="28" xfId="0" applyNumberFormat="1" applyFont="1" applyFill="1" applyBorder="1" applyAlignment="1" applyProtection="1">
      <alignment vertical="center"/>
      <protection locked="0"/>
    </xf>
    <xf numFmtId="17" fontId="4" fillId="5" borderId="22" xfId="0" applyNumberFormat="1" applyFont="1" applyFill="1" applyBorder="1" applyAlignment="1" applyProtection="1">
      <alignment vertical="center"/>
      <protection locked="0"/>
    </xf>
    <xf numFmtId="17" fontId="19" fillId="5" borderId="8" xfId="0" applyNumberFormat="1" applyFont="1" applyFill="1" applyBorder="1" applyAlignment="1" applyProtection="1">
      <alignment horizontal="center" vertical="center"/>
      <protection locked="0"/>
    </xf>
    <xf numFmtId="17" fontId="19" fillId="5" borderId="9" xfId="0" applyNumberFormat="1" applyFont="1" applyFill="1" applyBorder="1" applyAlignment="1" applyProtection="1">
      <alignment horizontal="center" vertical="center"/>
      <protection locked="0"/>
    </xf>
    <xf numFmtId="17" fontId="19" fillId="5" borderId="10" xfId="0" applyNumberFormat="1" applyFont="1" applyFill="1" applyBorder="1" applyAlignment="1" applyProtection="1">
      <alignment vertical="center"/>
      <protection locked="0"/>
    </xf>
    <xf numFmtId="17" fontId="19" fillId="5" borderId="8" xfId="0" applyNumberFormat="1" applyFont="1" applyFill="1" applyBorder="1" applyAlignment="1" applyProtection="1">
      <alignment horizontal="center"/>
      <protection locked="0"/>
    </xf>
    <xf numFmtId="17" fontId="19" fillId="5" borderId="9" xfId="0" applyNumberFormat="1" applyFont="1" applyFill="1" applyBorder="1" applyAlignment="1" applyProtection="1">
      <alignment horizontal="center"/>
      <protection locked="0"/>
    </xf>
    <xf numFmtId="17" fontId="19" fillId="5" borderId="10" xfId="0" applyNumberFormat="1" applyFont="1" applyFill="1" applyBorder="1" applyAlignment="1" applyProtection="1">
      <alignment horizontal="center"/>
      <protection locked="0"/>
    </xf>
    <xf numFmtId="17" fontId="19" fillId="5" borderId="25" xfId="0" applyNumberFormat="1" applyFont="1" applyFill="1" applyBorder="1" applyAlignment="1" applyProtection="1">
      <alignment horizontal="center"/>
      <protection locked="0"/>
    </xf>
    <xf numFmtId="17" fontId="19" fillId="5" borderId="28" xfId="0" applyNumberFormat="1" applyFont="1" applyFill="1" applyBorder="1" applyAlignment="1" applyProtection="1">
      <alignment vertical="center"/>
      <protection locked="0"/>
    </xf>
    <xf numFmtId="17" fontId="19" fillId="5" borderId="22" xfId="0" applyNumberFormat="1" applyFont="1" applyFill="1" applyBorder="1" applyAlignment="1" applyProtection="1">
      <alignment vertical="center"/>
      <protection locked="0"/>
    </xf>
    <xf numFmtId="17" fontId="19" fillId="5" borderId="27" xfId="0" applyNumberFormat="1" applyFont="1" applyFill="1" applyBorder="1" applyAlignment="1" applyProtection="1">
      <alignment vertical="center"/>
      <protection locked="0"/>
    </xf>
    <xf numFmtId="17" fontId="19" fillId="5" borderId="28" xfId="0" applyNumberFormat="1" applyFont="1" applyFill="1" applyBorder="1" applyAlignment="1" applyProtection="1">
      <alignment horizontal="center"/>
      <protection locked="0"/>
    </xf>
    <xf numFmtId="17" fontId="19" fillId="5" borderId="22" xfId="0" applyNumberFormat="1" applyFont="1" applyFill="1" applyBorder="1" applyAlignment="1" applyProtection="1">
      <alignment horizontal="center"/>
      <protection locked="0"/>
    </xf>
    <xf numFmtId="17" fontId="19" fillId="5" borderId="27" xfId="0" applyNumberFormat="1" applyFont="1" applyFill="1" applyBorder="1" applyAlignment="1" applyProtection="1">
      <alignment horizontal="center"/>
      <protection locked="0"/>
    </xf>
    <xf numFmtId="17" fontId="19" fillId="5" borderId="29" xfId="0" applyNumberFormat="1" applyFont="1" applyFill="1" applyBorder="1" applyAlignment="1" applyProtection="1">
      <alignment horizontal="center"/>
      <protection locked="0"/>
    </xf>
    <xf numFmtId="0" fontId="19" fillId="5" borderId="24" xfId="0" applyFont="1" applyFill="1" applyBorder="1" applyProtection="1">
      <protection locked="0"/>
    </xf>
    <xf numFmtId="0" fontId="19" fillId="5" borderId="26" xfId="0" applyFont="1" applyFill="1" applyBorder="1" applyProtection="1">
      <protection locked="0"/>
    </xf>
    <xf numFmtId="0" fontId="9" fillId="5" borderId="13" xfId="0" applyFont="1" applyFill="1" applyBorder="1" applyAlignment="1" applyProtection="1">
      <alignment horizontal="left" indent="1"/>
      <protection locked="0"/>
    </xf>
    <xf numFmtId="166" fontId="9" fillId="5" borderId="5" xfId="0" applyNumberFormat="1" applyFont="1" applyFill="1" applyBorder="1" applyAlignment="1" applyProtection="1">
      <protection locked="0"/>
    </xf>
    <xf numFmtId="166" fontId="9" fillId="5" borderId="12" xfId="0" applyNumberFormat="1" applyFont="1" applyFill="1" applyBorder="1" applyAlignment="1" applyProtection="1">
      <protection locked="0"/>
    </xf>
    <xf numFmtId="0" fontId="15" fillId="5" borderId="13" xfId="0" applyFont="1" applyFill="1" applyBorder="1" applyAlignment="1" applyProtection="1">
      <alignment horizontal="left" indent="1"/>
      <protection locked="0"/>
    </xf>
    <xf numFmtId="166" fontId="15" fillId="5" borderId="5" xfId="0" applyNumberFormat="1" applyFont="1" applyFill="1" applyBorder="1" applyAlignment="1" applyProtection="1">
      <protection locked="0"/>
    </xf>
    <xf numFmtId="166" fontId="15" fillId="5" borderId="23" xfId="0" applyNumberFormat="1" applyFont="1" applyFill="1" applyBorder="1" applyAlignment="1" applyProtection="1">
      <protection locked="0"/>
    </xf>
    <xf numFmtId="166" fontId="15" fillId="5" borderId="12" xfId="0" applyNumberFormat="1" applyFont="1" applyFill="1" applyBorder="1" applyAlignment="1" applyProtection="1">
      <protection locked="0"/>
    </xf>
    <xf numFmtId="0" fontId="21" fillId="5" borderId="42" xfId="0" applyFont="1" applyFill="1" applyBorder="1" applyAlignment="1">
      <alignment horizontal="left" vertical="center" indent="2"/>
    </xf>
    <xf numFmtId="0" fontId="21" fillId="5" borderId="43" xfId="0" applyFont="1" applyFill="1" applyBorder="1" applyAlignment="1">
      <alignment horizontal="center" vertical="center"/>
    </xf>
    <xf numFmtId="0" fontId="21" fillId="5" borderId="44" xfId="0" applyFont="1" applyFill="1" applyBorder="1" applyAlignment="1">
      <alignment horizontal="center" vertical="center"/>
    </xf>
    <xf numFmtId="0" fontId="23" fillId="5" borderId="54" xfId="0" applyFont="1" applyFill="1" applyBorder="1" applyAlignment="1" applyProtection="1">
      <alignment horizontal="center" vertical="center" wrapText="1"/>
    </xf>
    <xf numFmtId="0" fontId="19" fillId="5" borderId="24" xfId="0" applyFont="1" applyFill="1" applyBorder="1" applyAlignment="1" applyProtection="1">
      <alignment horizontal="center"/>
      <protection locked="0"/>
    </xf>
    <xf numFmtId="1" fontId="19" fillId="5" borderId="9" xfId="0" applyNumberFormat="1" applyFont="1" applyFill="1" applyBorder="1" applyAlignment="1" applyProtection="1">
      <alignment horizontal="center" vertical="center"/>
      <protection locked="0"/>
    </xf>
    <xf numFmtId="17" fontId="19" fillId="5" borderId="25" xfId="0" applyNumberFormat="1" applyFont="1" applyFill="1" applyBorder="1" applyAlignment="1" applyProtection="1">
      <alignment vertical="center"/>
      <protection locked="0"/>
    </xf>
    <xf numFmtId="0" fontId="4" fillId="6" borderId="11" xfId="0" applyFont="1" applyFill="1" applyBorder="1" applyAlignment="1" applyProtection="1">
      <alignment horizontal="left" indent="1"/>
      <protection locked="0"/>
    </xf>
    <xf numFmtId="164" fontId="5" fillId="6" borderId="5" xfId="0" applyNumberFormat="1" applyFont="1" applyFill="1" applyBorder="1" applyAlignment="1" applyProtection="1">
      <alignment horizontal="center"/>
      <protection locked="0"/>
    </xf>
    <xf numFmtId="164" fontId="5" fillId="6" borderId="12" xfId="0" applyNumberFormat="1" applyFont="1" applyFill="1" applyBorder="1" applyAlignment="1" applyProtection="1">
      <alignment horizontal="center"/>
      <protection locked="0"/>
    </xf>
    <xf numFmtId="0" fontId="4" fillId="7" borderId="11" xfId="0" applyFont="1" applyFill="1" applyBorder="1" applyAlignment="1" applyProtection="1">
      <alignment horizontal="left" indent="1"/>
      <protection locked="0"/>
    </xf>
    <xf numFmtId="164" fontId="5" fillId="7" borderId="5" xfId="0" applyNumberFormat="1" applyFont="1" applyFill="1" applyBorder="1" applyAlignment="1" applyProtection="1">
      <alignment horizontal="center"/>
      <protection locked="0"/>
    </xf>
    <xf numFmtId="164" fontId="5" fillId="7" borderId="12" xfId="0" applyNumberFormat="1" applyFont="1" applyFill="1" applyBorder="1" applyAlignment="1" applyProtection="1">
      <alignment horizontal="center"/>
      <protection locked="0"/>
    </xf>
    <xf numFmtId="164" fontId="6" fillId="6" borderId="5" xfId="0" applyNumberFormat="1" applyFont="1" applyFill="1" applyBorder="1" applyProtection="1">
      <protection locked="0"/>
    </xf>
    <xf numFmtId="164" fontId="6" fillId="6" borderId="12" xfId="0" applyNumberFormat="1" applyFont="1" applyFill="1" applyBorder="1" applyProtection="1">
      <protection locked="0"/>
    </xf>
    <xf numFmtId="166" fontId="6" fillId="6" borderId="5" xfId="0" applyNumberFormat="1" applyFont="1" applyFill="1" applyBorder="1" applyAlignment="1" applyProtection="1">
      <protection locked="0"/>
    </xf>
    <xf numFmtId="166" fontId="6" fillId="6" borderId="12" xfId="0" applyNumberFormat="1" applyFont="1" applyFill="1" applyBorder="1" applyAlignment="1" applyProtection="1">
      <protection locked="0"/>
    </xf>
    <xf numFmtId="17" fontId="4" fillId="5" borderId="29" xfId="0" applyNumberFormat="1" applyFont="1" applyFill="1" applyBorder="1" applyAlignment="1" applyProtection="1">
      <alignment vertical="center"/>
      <protection locked="0"/>
    </xf>
    <xf numFmtId="0" fontId="4" fillId="7" borderId="11" xfId="0" applyFont="1" applyFill="1" applyBorder="1" applyAlignment="1">
      <alignment horizontal="left" indent="1"/>
    </xf>
    <xf numFmtId="164" fontId="5" fillId="7" borderId="5" xfId="0" applyNumberFormat="1" applyFont="1" applyFill="1" applyBorder="1" applyAlignment="1">
      <alignment horizontal="center"/>
    </xf>
    <xf numFmtId="164" fontId="5" fillId="7" borderId="12" xfId="0" applyNumberFormat="1" applyFont="1" applyFill="1" applyBorder="1" applyAlignment="1">
      <alignment horizontal="center"/>
    </xf>
    <xf numFmtId="0" fontId="18" fillId="7" borderId="11" xfId="0" applyFont="1" applyFill="1" applyBorder="1" applyAlignment="1" applyProtection="1">
      <alignment horizontal="left" indent="1"/>
      <protection locked="0"/>
    </xf>
    <xf numFmtId="164" fontId="24" fillId="7" borderId="5" xfId="0" applyNumberFormat="1" applyFont="1" applyFill="1" applyBorder="1" applyProtection="1">
      <protection locked="0"/>
    </xf>
    <xf numFmtId="164" fontId="24" fillId="7" borderId="23" xfId="0" applyNumberFormat="1" applyFont="1" applyFill="1" applyBorder="1" applyProtection="1">
      <protection locked="0"/>
    </xf>
    <xf numFmtId="164" fontId="24" fillId="7" borderId="12" xfId="0" applyNumberFormat="1" applyFont="1" applyFill="1" applyBorder="1" applyProtection="1">
      <protection locked="0"/>
    </xf>
    <xf numFmtId="166" fontId="22" fillId="7" borderId="5" xfId="0" applyNumberFormat="1" applyFont="1" applyFill="1" applyBorder="1" applyAlignment="1" applyProtection="1">
      <protection locked="0"/>
    </xf>
    <xf numFmtId="166" fontId="22" fillId="7" borderId="23" xfId="0" applyNumberFormat="1" applyFont="1" applyFill="1" applyBorder="1" applyAlignment="1" applyProtection="1">
      <protection locked="0"/>
    </xf>
    <xf numFmtId="166" fontId="22" fillId="7" borderId="12" xfId="0" applyNumberFormat="1" applyFont="1" applyFill="1" applyBorder="1" applyAlignment="1" applyProtection="1">
      <protection locked="0"/>
    </xf>
    <xf numFmtId="0" fontId="7" fillId="7" borderId="51" xfId="0" applyFont="1" applyFill="1" applyBorder="1" applyAlignment="1">
      <alignment horizontal="left" vertical="center" indent="1"/>
    </xf>
    <xf numFmtId="166" fontId="7" fillId="7" borderId="52" xfId="0" applyNumberFormat="1" applyFont="1" applyFill="1" applyBorder="1" applyAlignment="1">
      <alignment horizontal="right" vertical="center" indent="1"/>
    </xf>
    <xf numFmtId="10" fontId="7" fillId="7" borderId="53" xfId="1" applyNumberFormat="1" applyFont="1" applyFill="1" applyBorder="1" applyAlignment="1">
      <alignment horizontal="center" vertical="center"/>
    </xf>
    <xf numFmtId="167" fontId="5" fillId="4" borderId="2" xfId="0" applyNumberFormat="1" applyFont="1" applyFill="1" applyBorder="1" applyAlignment="1" applyProtection="1">
      <alignment horizontal="left" vertical="center"/>
      <protection locked="0"/>
    </xf>
    <xf numFmtId="10" fontId="5" fillId="4" borderId="2" xfId="1" applyNumberFormat="1" applyFont="1" applyFill="1" applyBorder="1" applyAlignment="1" applyProtection="1">
      <alignment horizontal="left" vertical="center" indent="1"/>
      <protection locked="0"/>
    </xf>
    <xf numFmtId="166" fontId="10" fillId="4" borderId="34" xfId="0" applyNumberFormat="1" applyFont="1" applyFill="1" applyBorder="1" applyAlignment="1" applyProtection="1">
      <alignment horizontal="left" vertical="center" indent="1"/>
      <protection locked="0"/>
    </xf>
    <xf numFmtId="0" fontId="2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4" fillId="0" borderId="0" xfId="0" applyFont="1" applyFill="1" applyBorder="1" applyAlignment="1" applyProtection="1">
      <alignment horizontal="left" vertical="center"/>
      <protection locked="0"/>
    </xf>
    <xf numFmtId="0" fontId="16" fillId="0" borderId="0" xfId="0" applyFont="1" applyAlignment="1" applyProtection="1">
      <alignment horizontal="left" vertical="center"/>
      <protection locked="0"/>
    </xf>
    <xf numFmtId="0" fontId="5" fillId="4" borderId="30" xfId="0" applyFont="1" applyFill="1" applyBorder="1" applyAlignment="1" applyProtection="1">
      <alignment horizontal="left" vertical="center"/>
      <protection locked="0"/>
    </xf>
    <xf numFmtId="0" fontId="5" fillId="4" borderId="31" xfId="0" applyFont="1" applyFill="1" applyBorder="1" applyAlignment="1" applyProtection="1">
      <alignment horizontal="left" vertical="center"/>
      <protection locked="0"/>
    </xf>
    <xf numFmtId="0" fontId="5" fillId="4" borderId="32" xfId="0" applyFont="1" applyFill="1" applyBorder="1" applyAlignment="1" applyProtection="1">
      <alignment horizontal="left" vertical="center"/>
      <protection locked="0"/>
    </xf>
    <xf numFmtId="0" fontId="5" fillId="4" borderId="2" xfId="0" applyFont="1" applyFill="1" applyBorder="1" applyAlignment="1" applyProtection="1">
      <alignment horizontal="left" vertical="center"/>
      <protection locked="0"/>
    </xf>
    <xf numFmtId="0" fontId="5" fillId="4" borderId="3" xfId="0" applyFont="1" applyFill="1" applyBorder="1" applyAlignment="1" applyProtection="1">
      <alignment horizontal="left" vertical="center"/>
      <protection locked="0"/>
    </xf>
    <xf numFmtId="0" fontId="5" fillId="4" borderId="33" xfId="0" applyFont="1" applyFill="1" applyBorder="1" applyAlignment="1" applyProtection="1">
      <alignment horizontal="left" vertical="center"/>
      <protection locked="0"/>
    </xf>
    <xf numFmtId="0" fontId="0" fillId="0" borderId="0" xfId="0" applyBorder="1" applyAlignment="1">
      <alignment horizontal="center"/>
    </xf>
    <xf numFmtId="0" fontId="23" fillId="5" borderId="55" xfId="0" applyFont="1" applyFill="1" applyBorder="1" applyAlignment="1" applyProtection="1">
      <alignment horizontal="center" vertical="center" wrapText="1"/>
    </xf>
    <xf numFmtId="0" fontId="23" fillId="5" borderId="56" xfId="0" applyFont="1" applyFill="1" applyBorder="1" applyAlignment="1" applyProtection="1">
      <alignment horizontal="center" vertical="center" wrapText="1"/>
    </xf>
  </cellXfs>
  <cellStyles count="3">
    <cellStyle name="Moeda" xfId="2" builtinId="4"/>
    <cellStyle name="Normal" xfId="0" builtinId="0"/>
    <cellStyle name="Porcentagem" xfId="1" builtinId="5"/>
  </cellStyles>
  <dxfs count="0"/>
  <tableStyles count="0" defaultTableStyle="TableStyleMedium9" defaultPivotStyle="PivotStyleLight16"/>
  <colors>
    <mruColors>
      <color rgb="FF006600"/>
      <color rgb="FF741C1A"/>
      <color rgb="FFFEE57A"/>
      <color rgb="FFE8E8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DESPESAS REALIZADAS</a:t>
            </a:r>
          </a:p>
        </c:rich>
      </c:tx>
      <c:overlay val="0"/>
    </c:title>
    <c:autoTitleDeleted val="0"/>
    <c:view3D>
      <c:rotX val="30"/>
      <c:rotY val="40"/>
      <c:rAngAx val="0"/>
      <c:perspective val="2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4382022471910114"/>
          <c:y val="0.22324543107676223"/>
          <c:w val="0.52528827155032587"/>
          <c:h val="0.60341710544836347"/>
        </c:manualLayout>
      </c:layout>
      <c:pie3DChart>
        <c:varyColors val="1"/>
        <c:ser>
          <c:idx val="0"/>
          <c:order val="0"/>
          <c:tx>
            <c:v>Despesas</c:v>
          </c:tx>
          <c:spPr>
            <a:ln>
              <a:solidFill>
                <a:schemeClr val="tx1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contourClr>
                <a:srgbClr val="000000"/>
              </a:contourClr>
            </a:sp3d>
          </c:spPr>
          <c:dLbls>
            <c:dLbl>
              <c:idx val="0"/>
              <c:layout>
                <c:manualLayout>
                  <c:x val="-5.9925093632958804E-3"/>
                  <c:y val="-7.255735743504340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4B-42EB-A323-001FFE28E0B9}"/>
                </c:ext>
              </c:extLst>
            </c:dLbl>
            <c:dLbl>
              <c:idx val="1"/>
              <c:layout>
                <c:manualLayout>
                  <c:x val="3.895131086142322E-2"/>
                  <c:y val="-1.072026461327163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A4B-42EB-A323-001FFE28E0B9}"/>
                </c:ext>
              </c:extLst>
            </c:dLbl>
            <c:dLbl>
              <c:idx val="2"/>
              <c:layout>
                <c:manualLayout>
                  <c:x val="1.6479400749063726E-2"/>
                  <c:y val="3.443634227446425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A4B-42EB-A323-001FFE28E0B9}"/>
                </c:ext>
              </c:extLst>
            </c:dLbl>
            <c:dLbl>
              <c:idx val="3"/>
              <c:layout>
                <c:manualLayout>
                  <c:x val="1.4981273408239701E-3"/>
                  <c:y val="4.2881058453086922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A4B-42EB-A323-001FFE28E0B9}"/>
                </c:ext>
              </c:extLst>
            </c:dLbl>
            <c:dLbl>
              <c:idx val="4"/>
              <c:layout>
                <c:manualLayout>
                  <c:x val="5.6660355657789964E-2"/>
                  <c:y val="-0.126923744388214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A4B-42EB-A323-001FFE28E0B9}"/>
                </c:ext>
              </c:extLst>
            </c:dLbl>
            <c:dLbl>
              <c:idx val="5"/>
              <c:layout>
                <c:manualLayout>
                  <c:x val="-3.792149576808517E-3"/>
                  <c:y val="-3.2160793839815287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A4B-42EB-A323-001FFE28E0B9}"/>
                </c:ext>
              </c:extLst>
            </c:dLbl>
            <c:dLbl>
              <c:idx val="6"/>
              <c:layout>
                <c:manualLayout>
                  <c:x val="2.6966292134831454E-2"/>
                  <c:y val="-6.317886655992828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A4B-42EB-A323-001FFE28E0B9}"/>
                </c:ext>
              </c:extLst>
            </c:dLbl>
            <c:dLbl>
              <c:idx val="7"/>
              <c:layout>
                <c:manualLayout>
                  <c:x val="-5.9925093632958804E-3"/>
                  <c:y val="-3.216079383981519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A4B-42EB-A323-001FFE28E0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'Gráfico Despesas Realizadas'!$P$3:$P$10</c:f>
              <c:strCache>
                <c:ptCount val="8"/>
                <c:pt idx="0">
                  <c:v>Moradia</c:v>
                </c:pt>
                <c:pt idx="1">
                  <c:v>Transporte</c:v>
                </c:pt>
                <c:pt idx="2">
                  <c:v>Saúde, educação, segurança</c:v>
                </c:pt>
                <c:pt idx="3">
                  <c:v>Conforto e lazer</c:v>
                </c:pt>
                <c:pt idx="4">
                  <c:v>Alimentação, higiene e vestuário</c:v>
                </c:pt>
                <c:pt idx="5">
                  <c:v>Despesas de capital</c:v>
                </c:pt>
                <c:pt idx="6">
                  <c:v>Custos financeiros e bancários</c:v>
                </c:pt>
                <c:pt idx="7">
                  <c:v>Outros</c:v>
                </c:pt>
              </c:strCache>
            </c:strRef>
          </c:cat>
          <c:val>
            <c:numRef>
              <c:f>'Gráfico Despesas Realizadas'!$R$3:$R$10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A4B-42EB-A323-001FFE28E0B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>
        <c:manualLayout>
          <c:xMode val="edge"/>
          <c:yMode val="edge"/>
          <c:x val="0.84139314046418356"/>
          <c:y val="0.141288867026302"/>
          <c:w val="0.13913120410510485"/>
          <c:h val="0.70989301901943991"/>
        </c:manualLayout>
      </c:layout>
      <c:overlay val="0"/>
      <c:spPr>
        <a:ln>
          <a:solidFill>
            <a:schemeClr val="tx1"/>
          </a:solidFill>
        </a:ln>
      </c:spPr>
      <c:txPr>
        <a:bodyPr/>
        <a:lstStyle/>
        <a:p>
          <a:pPr rtl="0">
            <a:defRPr sz="1000"/>
          </a:pPr>
          <a:endParaRPr lang="pt-BR"/>
        </a:p>
      </c:txPr>
    </c:legend>
    <c:plotVisOnly val="1"/>
    <c:dispBlanksAs val="gap"/>
    <c:showDLblsOverMax val="0"/>
  </c:chart>
  <c:spPr>
    <a:ln w="19050">
      <a:solidFill>
        <a:schemeClr val="bg1">
          <a:lumMod val="50000"/>
        </a:schemeClr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11</xdr:row>
          <xdr:rowOff>38100</xdr:rowOff>
        </xdr:from>
        <xdr:to>
          <xdr:col>4</xdr:col>
          <xdr:colOff>904875</xdr:colOff>
          <xdr:row>12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Orçado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1200150</xdr:colOff>
          <xdr:row>11</xdr:row>
          <xdr:rowOff>38100</xdr:rowOff>
        </xdr:from>
        <xdr:to>
          <xdr:col>4</xdr:col>
          <xdr:colOff>2009775</xdr:colOff>
          <xdr:row>12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Realizado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2295525</xdr:colOff>
          <xdr:row>11</xdr:row>
          <xdr:rowOff>38100</xdr:rowOff>
        </xdr:from>
        <xdr:to>
          <xdr:col>4</xdr:col>
          <xdr:colOff>2962275</xdr:colOff>
          <xdr:row>12</xdr:row>
          <xdr:rowOff>19050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Tudo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28978</xdr:colOff>
      <xdr:row>3</xdr:row>
      <xdr:rowOff>77218</xdr:rowOff>
    </xdr:from>
    <xdr:to>
      <xdr:col>15</xdr:col>
      <xdr:colOff>338541</xdr:colOff>
      <xdr:row>8</xdr:row>
      <xdr:rowOff>47624</xdr:rowOff>
    </xdr:to>
    <xdr:sp macro="" textlink="">
      <xdr:nvSpPr>
        <xdr:cNvPr id="5" name="Texto explicativo em seta para a esquerda 4"/>
        <xdr:cNvSpPr/>
      </xdr:nvSpPr>
      <xdr:spPr>
        <a:xfrm>
          <a:off x="8387166" y="1803624"/>
          <a:ext cx="6643688" cy="1172938"/>
        </a:xfrm>
        <a:prstGeom prst="leftArrowCallout">
          <a:avLst>
            <a:gd name="adj1" fmla="val 25000"/>
            <a:gd name="adj2" fmla="val 25000"/>
            <a:gd name="adj3" fmla="val 25000"/>
            <a:gd name="adj4" fmla="val 91420"/>
          </a:avLst>
        </a:prstGeom>
        <a:solidFill>
          <a:srgbClr val="FFC000"/>
        </a:solidFill>
        <a:ln>
          <a:solidFill>
            <a:srgbClr val="FFC000"/>
          </a:solidFill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44000" rIns="144000" rtlCol="0" anchor="t"/>
        <a:lstStyle/>
        <a:p>
          <a:pPr marL="0" lvl="0" indent="0" algn="l" defTabSz="72000">
            <a:buFont typeface="Arial" pitchFamily="34" charset="0"/>
            <a:buNone/>
          </a:pPr>
          <a:r>
            <a:rPr lang="pt-BR" sz="1100">
              <a:solidFill>
                <a:schemeClr val="tx1"/>
              </a:solidFill>
              <a:latin typeface="+mn-lt"/>
              <a:ea typeface="+mn-ea"/>
              <a:cs typeface="+mn-cs"/>
            </a:rPr>
            <a:t>- Comece preenchendo  os dados iniciais , sempre na coluna "C". </a:t>
          </a:r>
        </a:p>
        <a:p>
          <a:pPr marL="0" lvl="0" indent="0" algn="l" defTabSz="72000">
            <a:buFont typeface="Arial" pitchFamily="34" charset="0"/>
            <a:buNone/>
          </a:pPr>
          <a:r>
            <a:rPr lang="pt-BR" sz="1100">
              <a:solidFill>
                <a:schemeClr val="tx1"/>
              </a:solidFill>
              <a:latin typeface="+mn-lt"/>
              <a:ea typeface="+mn-ea"/>
              <a:cs typeface="+mn-cs"/>
            </a:rPr>
            <a:t>- O "% de renúncia para investimentos" é quanto o associado deseja poupar de</a:t>
          </a:r>
          <a:r>
            <a:rPr lang="pt-BR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</a:t>
          </a:r>
          <a:r>
            <a:rPr lang="pt-BR" sz="1100">
              <a:solidFill>
                <a:schemeClr val="tx1"/>
              </a:solidFill>
              <a:latin typeface="+mn-lt"/>
              <a:ea typeface="+mn-ea"/>
              <a:cs typeface="+mn-cs"/>
            </a:rPr>
            <a:t>suas receitas líquidas 	por mês. </a:t>
          </a:r>
        </a:p>
        <a:p>
          <a:pPr marL="0" lvl="0" indent="0" algn="l" defTabSz="72000">
            <a:buFont typeface="Arial" pitchFamily="34" charset="0"/>
            <a:buNone/>
          </a:pPr>
          <a:r>
            <a:rPr lang="pt-BR" sz="1100">
              <a:solidFill>
                <a:schemeClr val="tx1"/>
              </a:solidFill>
              <a:latin typeface="+mn-lt"/>
              <a:ea typeface="+mn-ea"/>
              <a:cs typeface="+mn-cs"/>
            </a:rPr>
            <a:t>- O "saldo inicial" deve ser preenchido com saldo em R$ que o associado  possui ao começar a planilha, seja ele negativo ou positivo. </a:t>
          </a:r>
        </a:p>
        <a:p>
          <a:pPr marL="0" lvl="0" indent="0" algn="l" defTabSz="72000">
            <a:buFont typeface="Arial" pitchFamily="34" charset="0"/>
            <a:buNone/>
          </a:pPr>
          <a:r>
            <a:rPr lang="pt-BR" sz="1100">
              <a:solidFill>
                <a:schemeClr val="tx1"/>
              </a:solidFill>
              <a:latin typeface="+mn-lt"/>
              <a:ea typeface="+mn-ea"/>
              <a:cs typeface="+mn-cs"/>
            </a:rPr>
            <a:t>- A "data" preenchida</a:t>
          </a:r>
          <a:r>
            <a:rPr lang="pt-BR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será a mesma do início do planejamento</a:t>
          </a:r>
          <a:r>
            <a:rPr lang="pt-BR" sz="1400">
              <a:solidFill>
                <a:schemeClr val="tx1"/>
              </a:solidFill>
              <a:latin typeface="+mn-lt"/>
              <a:ea typeface="+mn-ea"/>
              <a:cs typeface="+mn-cs"/>
            </a:rPr>
            <a:t>.</a:t>
          </a:r>
        </a:p>
      </xdr:txBody>
    </xdr:sp>
    <xdr:clientData/>
  </xdr:twoCellAnchor>
  <xdr:twoCellAnchor>
    <xdr:from>
      <xdr:col>4</xdr:col>
      <xdr:colOff>2979354</xdr:colOff>
      <xdr:row>7</xdr:row>
      <xdr:rowOff>108112</xdr:rowOff>
    </xdr:from>
    <xdr:to>
      <xdr:col>7</xdr:col>
      <xdr:colOff>651300</xdr:colOff>
      <xdr:row>13</xdr:row>
      <xdr:rowOff>19433</xdr:rowOff>
    </xdr:to>
    <xdr:sp macro="" textlink="">
      <xdr:nvSpPr>
        <xdr:cNvPr id="6" name="Texto explicativo em seta para a esquerda 5"/>
        <xdr:cNvSpPr/>
      </xdr:nvSpPr>
      <xdr:spPr>
        <a:xfrm rot="21140925">
          <a:off x="5515385" y="2775112"/>
          <a:ext cx="2589228" cy="828102"/>
        </a:xfrm>
        <a:prstGeom prst="leftArrowCallout">
          <a:avLst>
            <a:gd name="adj1" fmla="val 25000"/>
            <a:gd name="adj2" fmla="val 25000"/>
            <a:gd name="adj3" fmla="val 25000"/>
            <a:gd name="adj4" fmla="val 82281"/>
          </a:avLst>
        </a:prstGeom>
        <a:solidFill>
          <a:srgbClr val="FFC000"/>
        </a:solidFill>
        <a:ln>
          <a:solidFill>
            <a:srgbClr val="FFC000"/>
          </a:solidFill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44000" rIns="144000" rtlCol="0" anchor="t"/>
        <a:lstStyle/>
        <a:p>
          <a:pPr marL="0" lvl="0" indent="0" algn="l" defTabSz="72000">
            <a:buFont typeface="Arial" pitchFamily="34" charset="0"/>
            <a:buNone/>
          </a:pPr>
          <a:r>
            <a:rPr lang="pt-BR" sz="1100">
              <a:solidFill>
                <a:schemeClr val="tx1"/>
              </a:solidFill>
              <a:latin typeface="+mn-lt"/>
              <a:ea typeface="+mn-ea"/>
              <a:cs typeface="+mn-cs"/>
            </a:rPr>
            <a:t>Esses 3 botões permitem diferentes visualizações da planilha: só o orçado, só o realizado, ou tudo</a:t>
          </a:r>
          <a:r>
            <a:rPr lang="pt-BR" sz="1400">
              <a:solidFill>
                <a:schemeClr val="tx1"/>
              </a:solidFill>
              <a:latin typeface="+mn-lt"/>
              <a:ea typeface="+mn-ea"/>
              <a:cs typeface="+mn-cs"/>
            </a:rPr>
            <a:t>.</a:t>
          </a:r>
        </a:p>
      </xdr:txBody>
    </xdr:sp>
    <xdr:clientData/>
  </xdr:twoCellAnchor>
  <xdr:twoCellAnchor>
    <xdr:from>
      <xdr:col>6</xdr:col>
      <xdr:colOff>574111</xdr:colOff>
      <xdr:row>14</xdr:row>
      <xdr:rowOff>83362</xdr:rowOff>
    </xdr:from>
    <xdr:to>
      <xdr:col>9</xdr:col>
      <xdr:colOff>433791</xdr:colOff>
      <xdr:row>17</xdr:row>
      <xdr:rowOff>178594</xdr:rowOff>
    </xdr:to>
    <xdr:sp macro="" textlink="">
      <xdr:nvSpPr>
        <xdr:cNvPr id="7" name="Texto explicativo em seta para a esquerda 6"/>
        <xdr:cNvSpPr/>
      </xdr:nvSpPr>
      <xdr:spPr>
        <a:xfrm>
          <a:off x="7122549" y="3857643"/>
          <a:ext cx="2574305" cy="702451"/>
        </a:xfrm>
        <a:prstGeom prst="leftArrowCallout">
          <a:avLst>
            <a:gd name="adj1" fmla="val 25000"/>
            <a:gd name="adj2" fmla="val 25000"/>
            <a:gd name="adj3" fmla="val 25000"/>
            <a:gd name="adj4" fmla="val 82830"/>
          </a:avLst>
        </a:prstGeom>
        <a:solidFill>
          <a:srgbClr val="FFC000"/>
        </a:solidFill>
        <a:ln>
          <a:solidFill>
            <a:srgbClr val="FFC000"/>
          </a:solidFill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44000" rIns="144000" rtlCol="0" anchor="t"/>
        <a:lstStyle/>
        <a:p>
          <a:pPr marL="0" lvl="0" indent="0" algn="l" defTabSz="72000">
            <a:buFont typeface="Arial" pitchFamily="34" charset="0"/>
            <a:buNone/>
          </a:pPr>
          <a:r>
            <a:rPr lang="pt-BR" sz="1100">
              <a:solidFill>
                <a:schemeClr val="tx1"/>
              </a:solidFill>
              <a:latin typeface="+mn-lt"/>
              <a:ea typeface="+mn-ea"/>
              <a:cs typeface="+mn-cs"/>
            </a:rPr>
            <a:t>Preencher manualmente as receitas líquidas orçadas e as realizadas para cada mês</a:t>
          </a:r>
          <a:r>
            <a:rPr lang="pt-BR" sz="1400">
              <a:solidFill>
                <a:schemeClr val="tx1"/>
              </a:solidFill>
              <a:latin typeface="+mn-lt"/>
              <a:ea typeface="+mn-ea"/>
              <a:cs typeface="+mn-cs"/>
            </a:rPr>
            <a:t>.</a:t>
          </a:r>
        </a:p>
      </xdr:txBody>
    </xdr:sp>
    <xdr:clientData/>
  </xdr:twoCellAnchor>
  <xdr:twoCellAnchor>
    <xdr:from>
      <xdr:col>5</xdr:col>
      <xdr:colOff>750345</xdr:colOff>
      <xdr:row>28</xdr:row>
      <xdr:rowOff>107188</xdr:rowOff>
    </xdr:from>
    <xdr:to>
      <xdr:col>12</xdr:col>
      <xdr:colOff>445695</xdr:colOff>
      <xdr:row>32</xdr:row>
      <xdr:rowOff>71453</xdr:rowOff>
    </xdr:to>
    <xdr:sp macro="" textlink="">
      <xdr:nvSpPr>
        <xdr:cNvPr id="8" name="Texto explicativo em seta para a esquerda 7"/>
        <xdr:cNvSpPr/>
      </xdr:nvSpPr>
      <xdr:spPr>
        <a:xfrm>
          <a:off x="3965033" y="4179126"/>
          <a:ext cx="6029475" cy="773890"/>
        </a:xfrm>
        <a:prstGeom prst="leftArrowCallout">
          <a:avLst>
            <a:gd name="adj1" fmla="val 25000"/>
            <a:gd name="adj2" fmla="val 25000"/>
            <a:gd name="adj3" fmla="val 25000"/>
            <a:gd name="adj4" fmla="val 94229"/>
          </a:avLst>
        </a:prstGeom>
        <a:solidFill>
          <a:srgbClr val="FFC000"/>
        </a:solidFill>
        <a:ln>
          <a:solidFill>
            <a:srgbClr val="FFC000"/>
          </a:solidFill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44000" rIns="144000" rtlCol="0" anchor="t"/>
        <a:lstStyle/>
        <a:p>
          <a:pPr marL="0" lvl="0" indent="0" algn="l" defTabSz="72000">
            <a:buFont typeface="Arial" pitchFamily="34" charset="0"/>
            <a:buNone/>
          </a:pPr>
          <a:r>
            <a:rPr lang="pt-BR" sz="1100">
              <a:solidFill>
                <a:schemeClr val="tx1"/>
              </a:solidFill>
              <a:latin typeface="+mn-lt"/>
              <a:ea typeface="+mn-ea"/>
              <a:cs typeface="+mn-cs"/>
            </a:rPr>
            <a:t>Preencher manualmente  no 1º</a:t>
          </a:r>
          <a:r>
            <a:rPr lang="pt-BR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mês </a:t>
          </a:r>
          <a:r>
            <a:rPr lang="pt-BR" sz="1100">
              <a:solidFill>
                <a:schemeClr val="tx1"/>
              </a:solidFill>
              <a:latin typeface="+mn-lt"/>
              <a:ea typeface="+mn-ea"/>
              <a:cs typeface="+mn-cs"/>
            </a:rPr>
            <a:t>as despesas orçadas.</a:t>
          </a:r>
          <a:r>
            <a:rPr lang="pt-BR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Para os meses seguintes existe uma fórmula que copiará os valores do 1º mês. Caso seja necessário, pode-se alterar qualquer valor manualmente. </a:t>
          </a:r>
          <a:endParaRPr lang="pt-BR" sz="11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712231</xdr:colOff>
      <xdr:row>33</xdr:row>
      <xdr:rowOff>71449</xdr:rowOff>
    </xdr:from>
    <xdr:to>
      <xdr:col>12</xdr:col>
      <xdr:colOff>100417</xdr:colOff>
      <xdr:row>35</xdr:row>
      <xdr:rowOff>154781</xdr:rowOff>
    </xdr:to>
    <xdr:sp macro="" textlink="">
      <xdr:nvSpPr>
        <xdr:cNvPr id="9" name="Texto explicativo em seta para a esquerda 8"/>
        <xdr:cNvSpPr/>
      </xdr:nvSpPr>
      <xdr:spPr>
        <a:xfrm>
          <a:off x="7260669" y="6869918"/>
          <a:ext cx="4817436" cy="488144"/>
        </a:xfrm>
        <a:prstGeom prst="leftArrowCallout">
          <a:avLst>
            <a:gd name="adj1" fmla="val 25000"/>
            <a:gd name="adj2" fmla="val 25000"/>
            <a:gd name="adj3" fmla="val 25000"/>
            <a:gd name="adj4" fmla="val 93975"/>
          </a:avLst>
        </a:prstGeom>
        <a:solidFill>
          <a:srgbClr val="FFC000"/>
        </a:solidFill>
        <a:ln>
          <a:solidFill>
            <a:srgbClr val="FFC000"/>
          </a:solidFill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44000" rIns="144000" rtlCol="0" anchor="t"/>
        <a:lstStyle/>
        <a:p>
          <a:pPr marL="0" lvl="0" indent="0" algn="l" defTabSz="72000">
            <a:buFont typeface="Arial" pitchFamily="34" charset="0"/>
            <a:buNone/>
          </a:pPr>
          <a:r>
            <a:rPr lang="pt-BR" sz="1100">
              <a:solidFill>
                <a:schemeClr val="tx1"/>
              </a:solidFill>
              <a:latin typeface="+mn-lt"/>
              <a:ea typeface="+mn-ea"/>
              <a:cs typeface="+mn-cs"/>
            </a:rPr>
            <a:t>Preencher manualmente em todos os meses as despesas realizadas a medida que</a:t>
          </a:r>
          <a:r>
            <a:rPr lang="pt-BR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elas forem ocorrendo. </a:t>
          </a:r>
          <a:endParaRPr lang="pt-BR" sz="11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636192</xdr:colOff>
      <xdr:row>28</xdr:row>
      <xdr:rowOff>11945</xdr:rowOff>
    </xdr:from>
    <xdr:to>
      <xdr:col>16</xdr:col>
      <xdr:colOff>326638</xdr:colOff>
      <xdr:row>35</xdr:row>
      <xdr:rowOff>23843</xdr:rowOff>
    </xdr:to>
    <xdr:grpSp>
      <xdr:nvGrpSpPr>
        <xdr:cNvPr id="10" name="Grupo 9"/>
        <xdr:cNvGrpSpPr/>
      </xdr:nvGrpSpPr>
      <xdr:grpSpPr>
        <a:xfrm>
          <a:off x="12911536" y="4655383"/>
          <a:ext cx="2405071" cy="1428741"/>
          <a:chOff x="9382125" y="1559719"/>
          <a:chExt cx="2405071" cy="1434489"/>
        </a:xfrm>
      </xdr:grpSpPr>
      <xdr:pic>
        <xdr:nvPicPr>
          <xdr:cNvPr id="11" name="Imagem 10" descr="996749_59950327.jpg"/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</a:blip>
          <a:srcRect r="8024" b="5132"/>
          <a:stretch/>
        </xdr:blipFill>
        <xdr:spPr>
          <a:xfrm>
            <a:off x="9382125" y="1559719"/>
            <a:ext cx="2405071" cy="1434489"/>
          </a:xfrm>
          <a:prstGeom prst="rect">
            <a:avLst/>
          </a:prstGeom>
        </xdr:spPr>
      </xdr:pic>
      <xdr:sp macro="" textlink="">
        <xdr:nvSpPr>
          <xdr:cNvPr id="12" name="CaixaDeTexto 11"/>
          <xdr:cNvSpPr txBox="1"/>
        </xdr:nvSpPr>
        <xdr:spPr>
          <a:xfrm>
            <a:off x="9536906" y="1964530"/>
            <a:ext cx="2035969" cy="10001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0000" tIns="72000" bIns="0" rtlCol="0" anchor="ctr"/>
          <a:lstStyle/>
          <a:p>
            <a:pPr algn="ctr"/>
            <a:r>
              <a:rPr lang="pt-BR" sz="1400" b="1">
                <a:ln>
                  <a:solidFill>
                    <a:srgbClr val="741C1A"/>
                  </a:solidFill>
                </a:ln>
                <a:solidFill>
                  <a:schemeClr val="accent2">
                    <a:lumMod val="50000"/>
                  </a:schemeClr>
                </a:solidFill>
                <a:latin typeface="Segoe Script" pitchFamily="34" charset="0"/>
                <a:cs typeface="Calibri" pitchFamily="34" charset="0"/>
              </a:rPr>
              <a:t>Apenas</a:t>
            </a:r>
            <a:r>
              <a:rPr lang="pt-BR" sz="1400" b="1" baseline="0">
                <a:ln>
                  <a:solidFill>
                    <a:srgbClr val="741C1A"/>
                  </a:solidFill>
                </a:ln>
                <a:solidFill>
                  <a:schemeClr val="accent2">
                    <a:lumMod val="50000"/>
                  </a:schemeClr>
                </a:solidFill>
                <a:latin typeface="Segoe Script" pitchFamily="34" charset="0"/>
                <a:cs typeface="Calibri" pitchFamily="34" charset="0"/>
              </a:rPr>
              <a:t> as células cinzas devem ser preenchidas.</a:t>
            </a:r>
            <a:endParaRPr lang="pt-BR" sz="1400" b="1">
              <a:ln>
                <a:solidFill>
                  <a:srgbClr val="741C1A"/>
                </a:solidFill>
              </a:ln>
              <a:solidFill>
                <a:schemeClr val="accent2">
                  <a:lumMod val="50000"/>
                </a:schemeClr>
              </a:solidFill>
              <a:latin typeface="Segoe Script" pitchFamily="34" charset="0"/>
              <a:cs typeface="Calibri" pitchFamily="34" charset="0"/>
            </a:endParaRPr>
          </a:p>
        </xdr:txBody>
      </xdr:sp>
    </xdr:grpSp>
    <xdr:clientData/>
  </xdr:twoCellAnchor>
  <xdr:twoCellAnchor>
    <xdr:from>
      <xdr:col>6</xdr:col>
      <xdr:colOff>888442</xdr:colOff>
      <xdr:row>23</xdr:row>
      <xdr:rowOff>45298</xdr:rowOff>
    </xdr:from>
    <xdr:to>
      <xdr:col>14</xdr:col>
      <xdr:colOff>761999</xdr:colOff>
      <xdr:row>26</xdr:row>
      <xdr:rowOff>95249</xdr:rowOff>
    </xdr:to>
    <xdr:sp macro="" textlink="">
      <xdr:nvSpPr>
        <xdr:cNvPr id="14" name="Texto explicativo em seta para a esquerda 13"/>
        <xdr:cNvSpPr/>
      </xdr:nvSpPr>
      <xdr:spPr>
        <a:xfrm>
          <a:off x="7436880" y="4926861"/>
          <a:ext cx="7112557" cy="657169"/>
        </a:xfrm>
        <a:prstGeom prst="leftArrowCallout">
          <a:avLst>
            <a:gd name="adj1" fmla="val 25000"/>
            <a:gd name="adj2" fmla="val 25000"/>
            <a:gd name="adj3" fmla="val 25000"/>
            <a:gd name="adj4" fmla="val 96325"/>
          </a:avLst>
        </a:prstGeom>
        <a:solidFill>
          <a:srgbClr val="FFC000"/>
        </a:solidFill>
        <a:ln>
          <a:solidFill>
            <a:srgbClr val="FFC000"/>
          </a:solidFill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44000" rIns="144000" rtlCol="0" anchor="t"/>
        <a:lstStyle/>
        <a:p>
          <a:pPr marL="0" lvl="0" indent="0" algn="l" defTabSz="72000">
            <a:buFont typeface="Arial" pitchFamily="34" charset="0"/>
            <a:buNone/>
          </a:pPr>
          <a:r>
            <a:rPr lang="pt-BR" sz="1100">
              <a:solidFill>
                <a:schemeClr val="tx1"/>
              </a:solidFill>
              <a:latin typeface="+mn-lt"/>
              <a:ea typeface="+mn-ea"/>
              <a:cs typeface="+mn-cs"/>
            </a:rPr>
            <a:t>O valor orçado de poupança/renúncia ao consumo é calculado com base no "% de renúncia para investimentos" preenchido no quadro</a:t>
          </a:r>
          <a:r>
            <a:rPr lang="pt-BR" sz="1100" baseline="0">
              <a:solidFill>
                <a:schemeClr val="tx1"/>
              </a:solidFill>
              <a:latin typeface="+mn-lt"/>
              <a:ea typeface="+mn-ea"/>
              <a:cs typeface="+mn-cs"/>
            </a:rPr>
            <a:t> acima. Caso seja necessário, deve-se alterar manualmente esse valor no mês correspondente. </a:t>
          </a:r>
          <a:endParaRPr lang="pt-BR" sz="11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250032</xdr:colOff>
      <xdr:row>0</xdr:row>
      <xdr:rowOff>173830</xdr:rowOff>
    </xdr:from>
    <xdr:to>
      <xdr:col>2</xdr:col>
      <xdr:colOff>178595</xdr:colOff>
      <xdr:row>2</xdr:row>
      <xdr:rowOff>88105</xdr:rowOff>
    </xdr:to>
    <xdr:pic>
      <xdr:nvPicPr>
        <xdr:cNvPr id="29" name="Imagem 1" descr="logo_sicredi_assinatura_email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0032" y="173830"/>
          <a:ext cx="1143001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12</xdr:row>
      <xdr:rowOff>1</xdr:rowOff>
    </xdr:from>
    <xdr:to>
      <xdr:col>4</xdr:col>
      <xdr:colOff>119062</xdr:colOff>
      <xdr:row>21</xdr:row>
      <xdr:rowOff>190500</xdr:rowOff>
    </xdr:to>
    <xdr:sp macro="" textlink="">
      <xdr:nvSpPr>
        <xdr:cNvPr id="16" name="Texto Explicativo em Seta para a Direita 15"/>
        <xdr:cNvSpPr/>
      </xdr:nvSpPr>
      <xdr:spPr>
        <a:xfrm>
          <a:off x="250031" y="3524251"/>
          <a:ext cx="2405062" cy="1250155"/>
        </a:xfrm>
        <a:prstGeom prst="rightArrowCallout">
          <a:avLst>
            <a:gd name="adj1" fmla="val 18631"/>
            <a:gd name="adj2" fmla="val 24843"/>
            <a:gd name="adj3" fmla="val 11978"/>
            <a:gd name="adj4" fmla="val 82867"/>
          </a:avLst>
        </a:prstGeom>
        <a:solidFill>
          <a:srgbClr val="FFC000"/>
        </a:solidFill>
        <a:ln>
          <a:solidFill>
            <a:srgbClr val="FFC000"/>
          </a:solidFill>
        </a:ln>
        <a:scene3d>
          <a:camera prst="orthographicFront"/>
          <a:lightRig rig="balanced" dir="t"/>
        </a:scene3d>
        <a:sp3d extrusionH="76200">
          <a:bevelT w="88900" h="88900"/>
          <a:extrusionClr>
            <a:schemeClr val="bg1"/>
          </a:extrusion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Na coluna à esquerda é possível adicionar novas subcategorias de receitas e despesas clicando no nº 2 (acima) ou no sinal de "+" ao lado da categoria correspondente. </a:t>
          </a:r>
          <a:endParaRPr lang="pt-BR">
            <a:solidFill>
              <a:schemeClr val="tx1"/>
            </a:solidFill>
            <a:effectLst/>
          </a:endParaRPr>
        </a:p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10</xdr:row>
          <xdr:rowOff>38100</xdr:rowOff>
        </xdr:from>
        <xdr:to>
          <xdr:col>1</xdr:col>
          <xdr:colOff>904875</xdr:colOff>
          <xdr:row>11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Orçado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1200150</xdr:colOff>
          <xdr:row>10</xdr:row>
          <xdr:rowOff>38100</xdr:rowOff>
        </xdr:from>
        <xdr:to>
          <xdr:col>1</xdr:col>
          <xdr:colOff>2009775</xdr:colOff>
          <xdr:row>11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Realizado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2295525</xdr:colOff>
          <xdr:row>10</xdr:row>
          <xdr:rowOff>38100</xdr:rowOff>
        </xdr:from>
        <xdr:to>
          <xdr:col>1</xdr:col>
          <xdr:colOff>2962275</xdr:colOff>
          <xdr:row>11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Tudo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59531</xdr:colOff>
      <xdr:row>0</xdr:row>
      <xdr:rowOff>107157</xdr:rowOff>
    </xdr:from>
    <xdr:to>
      <xdr:col>1</xdr:col>
      <xdr:colOff>1202532</xdr:colOff>
      <xdr:row>2</xdr:row>
      <xdr:rowOff>21432</xdr:rowOff>
    </xdr:to>
    <xdr:pic>
      <xdr:nvPicPr>
        <xdr:cNvPr id="13" name="Imagem 1" descr="logo_sicredi_assinatura_email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687" y="107157"/>
          <a:ext cx="1143001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76199</xdr:rowOff>
    </xdr:from>
    <xdr:to>
      <xdr:col>13</xdr:col>
      <xdr:colOff>600075</xdr:colOff>
      <xdr:row>25</xdr:row>
      <xdr:rowOff>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1381125</xdr:colOff>
      <xdr:row>13</xdr:row>
      <xdr:rowOff>123825</xdr:rowOff>
    </xdr:from>
    <xdr:to>
      <xdr:col>16</xdr:col>
      <xdr:colOff>485776</xdr:colOff>
      <xdr:row>15</xdr:row>
      <xdr:rowOff>38100</xdr:rowOff>
    </xdr:to>
    <xdr:pic>
      <xdr:nvPicPr>
        <xdr:cNvPr id="11" name="Imagem 1" descr="logo_sicredi_assinatura_email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29825" y="2590800"/>
          <a:ext cx="1143001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8</xdr:row>
          <xdr:rowOff>38100</xdr:rowOff>
        </xdr:from>
        <xdr:to>
          <xdr:col>1</xdr:col>
          <xdr:colOff>904875</xdr:colOff>
          <xdr:row>9</xdr:row>
          <xdr:rowOff>19050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Resumido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1200150</xdr:colOff>
          <xdr:row>8</xdr:row>
          <xdr:rowOff>38100</xdr:rowOff>
        </xdr:from>
        <xdr:to>
          <xdr:col>1</xdr:col>
          <xdr:colOff>2009775</xdr:colOff>
          <xdr:row>9</xdr:row>
          <xdr:rowOff>19050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Detalhado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404811</xdr:colOff>
      <xdr:row>2</xdr:row>
      <xdr:rowOff>23812</xdr:rowOff>
    </xdr:from>
    <xdr:to>
      <xdr:col>4</xdr:col>
      <xdr:colOff>576878</xdr:colOff>
      <xdr:row>4</xdr:row>
      <xdr:rowOff>11906</xdr:rowOff>
    </xdr:to>
    <xdr:pic>
      <xdr:nvPicPr>
        <xdr:cNvPr id="9" name="Imagem 1" descr="logo_sicredi_assinatura_email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499" y="440531"/>
          <a:ext cx="1981817" cy="5119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>
    <pageSetUpPr fitToPage="1"/>
  </sheetPr>
  <dimension ref="E1:AT100"/>
  <sheetViews>
    <sheetView showGridLines="0" tabSelected="1" topLeftCell="A25" zoomScale="80" zoomScaleNormal="80" workbookViewId="0">
      <selection activeCell="B43" sqref="B43"/>
    </sheetView>
  </sheetViews>
  <sheetFormatPr defaultRowHeight="15" outlineLevelRow="1" x14ac:dyDescent="0.25"/>
  <cols>
    <col min="4" max="4" width="1.5703125" customWidth="1"/>
    <col min="5" max="5" width="46.5703125" customWidth="1"/>
    <col min="6" max="41" width="13.5703125" customWidth="1"/>
    <col min="42" max="42" width="1.5703125" customWidth="1"/>
    <col min="45" max="45" width="16.140625" customWidth="1"/>
    <col min="47" max="47" width="8.28515625" bestFit="1" customWidth="1"/>
  </cols>
  <sheetData>
    <row r="1" spans="5:46" x14ac:dyDescent="0.25">
      <c r="E1" s="259" t="s">
        <v>71</v>
      </c>
      <c r="F1" s="259"/>
      <c r="G1" s="259"/>
      <c r="H1" s="259"/>
      <c r="I1" s="259"/>
      <c r="J1" s="259"/>
      <c r="K1" s="259"/>
      <c r="L1" s="259"/>
      <c r="M1" s="259"/>
      <c r="N1" s="259"/>
      <c r="O1" s="259"/>
      <c r="P1" s="259"/>
    </row>
    <row r="2" spans="5:46" x14ac:dyDescent="0.25">
      <c r="E2" s="259"/>
      <c r="F2" s="259"/>
      <c r="G2" s="259"/>
      <c r="H2" s="259"/>
      <c r="I2" s="259"/>
      <c r="J2" s="259"/>
      <c r="K2" s="259"/>
      <c r="L2" s="259"/>
      <c r="M2" s="259"/>
      <c r="N2" s="259"/>
      <c r="O2" s="259"/>
      <c r="P2" s="259"/>
    </row>
    <row r="3" spans="5:46" x14ac:dyDescent="0.25">
      <c r="E3" s="259"/>
      <c r="F3" s="259"/>
      <c r="G3" s="259"/>
      <c r="H3" s="259"/>
      <c r="I3" s="259"/>
      <c r="J3" s="259"/>
      <c r="K3" s="259"/>
      <c r="L3" s="259"/>
      <c r="M3" s="259"/>
      <c r="N3" s="259"/>
      <c r="O3" s="259"/>
      <c r="P3" s="259"/>
    </row>
    <row r="4" spans="5:46" ht="12" customHeight="1" thickBot="1" x14ac:dyDescent="0.3">
      <c r="E4" s="1"/>
      <c r="F4" s="1"/>
      <c r="G4" s="1"/>
      <c r="H4" s="1"/>
      <c r="I4" s="163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</row>
    <row r="5" spans="5:46" ht="20.25" customHeight="1" x14ac:dyDescent="0.25">
      <c r="E5" s="164" t="s">
        <v>33</v>
      </c>
      <c r="F5" s="64"/>
      <c r="G5" s="65"/>
      <c r="H5" s="66"/>
      <c r="I5" s="57"/>
      <c r="J5" s="57"/>
      <c r="K5" s="54"/>
      <c r="L5" s="58"/>
      <c r="M5" s="58"/>
      <c r="N5" s="54"/>
      <c r="O5" s="54"/>
      <c r="P5" s="59"/>
      <c r="Q5" s="39"/>
      <c r="S5" s="19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</row>
    <row r="6" spans="5:46" ht="20.25" customHeight="1" x14ac:dyDescent="0.25">
      <c r="E6" s="165" t="s">
        <v>34</v>
      </c>
      <c r="F6" s="67"/>
      <c r="G6" s="68"/>
      <c r="H6" s="69"/>
      <c r="I6" s="57"/>
      <c r="J6" s="57"/>
      <c r="K6" s="54"/>
      <c r="L6" s="58"/>
      <c r="M6" s="58"/>
      <c r="N6" s="54"/>
      <c r="O6" s="54"/>
      <c r="P6" s="60"/>
      <c r="Q6" s="40"/>
      <c r="S6" s="19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</row>
    <row r="7" spans="5:46" ht="21" customHeight="1" x14ac:dyDescent="0.3">
      <c r="E7" s="165" t="s">
        <v>44</v>
      </c>
      <c r="F7" s="70"/>
      <c r="G7" s="71"/>
      <c r="H7" s="69"/>
      <c r="I7" s="61"/>
      <c r="J7" s="61"/>
      <c r="K7" s="50"/>
      <c r="L7" s="58"/>
      <c r="M7" s="58"/>
      <c r="N7" s="51"/>
      <c r="O7" s="54"/>
      <c r="P7" s="49"/>
      <c r="Q7" s="41"/>
      <c r="S7" s="20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Q7" s="257"/>
      <c r="AR7" s="257"/>
      <c r="AS7" s="257"/>
      <c r="AT7" s="36"/>
    </row>
    <row r="8" spans="5:46" s="52" customFormat="1" ht="21" customHeight="1" x14ac:dyDescent="0.3">
      <c r="E8" s="165" t="s">
        <v>55</v>
      </c>
      <c r="F8" s="72"/>
      <c r="G8" s="73"/>
      <c r="H8" s="69"/>
      <c r="I8" s="62"/>
      <c r="J8" s="62"/>
      <c r="K8" s="50"/>
      <c r="L8" s="58"/>
      <c r="M8" s="58"/>
      <c r="N8" s="51"/>
      <c r="O8" s="54"/>
      <c r="P8" s="49"/>
      <c r="Q8" s="49"/>
      <c r="S8" s="53"/>
      <c r="AQ8" s="80"/>
      <c r="AR8" s="80"/>
      <c r="AS8" s="80"/>
      <c r="AT8" s="36"/>
    </row>
    <row r="9" spans="5:46" s="52" customFormat="1" ht="21" customHeight="1" thickBot="1" x14ac:dyDescent="0.35">
      <c r="E9" s="166" t="s">
        <v>56</v>
      </c>
      <c r="F9" s="74"/>
      <c r="G9" s="75"/>
      <c r="H9" s="76"/>
      <c r="I9" s="63"/>
      <c r="J9" s="63"/>
      <c r="K9" s="50"/>
      <c r="L9" s="49"/>
      <c r="M9" s="49"/>
      <c r="N9" s="51"/>
      <c r="O9" s="56"/>
      <c r="P9" s="49"/>
      <c r="Q9" s="49"/>
      <c r="R9" s="55"/>
      <c r="S9" s="53"/>
      <c r="U9" s="55"/>
      <c r="X9" s="55"/>
      <c r="AA9" s="55"/>
      <c r="AD9" s="55"/>
      <c r="AG9" s="55"/>
      <c r="AJ9" s="55"/>
      <c r="AM9" s="55"/>
      <c r="AQ9" s="80"/>
      <c r="AR9" s="80"/>
      <c r="AS9" s="80"/>
      <c r="AT9" s="36"/>
    </row>
    <row r="10" spans="5:46" s="52" customFormat="1" ht="6" customHeight="1" x14ac:dyDescent="0.3">
      <c r="E10" s="47"/>
      <c r="F10" s="48"/>
      <c r="G10" s="49"/>
      <c r="H10" s="49"/>
      <c r="I10" s="49"/>
      <c r="J10" s="47"/>
      <c r="K10" s="50"/>
      <c r="L10" s="50"/>
      <c r="M10" s="49"/>
      <c r="N10" s="51"/>
      <c r="P10" s="49"/>
      <c r="Q10" s="49"/>
      <c r="S10" s="53"/>
      <c r="AQ10" s="80"/>
      <c r="AR10" s="80"/>
      <c r="AS10" s="80"/>
      <c r="AT10" s="36"/>
    </row>
    <row r="11" spans="5:46" ht="6" customHeight="1" x14ac:dyDescent="0.3">
      <c r="E11" s="2"/>
      <c r="F11" s="4"/>
      <c r="G11" s="4"/>
      <c r="H11" s="4"/>
      <c r="I11" s="3"/>
      <c r="J11" s="3"/>
      <c r="K11" s="3"/>
      <c r="L11" s="3"/>
      <c r="M11" s="3"/>
      <c r="N11" s="3"/>
      <c r="O11" s="3"/>
      <c r="P11" s="3"/>
      <c r="Q11" s="3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Q11" s="257"/>
      <c r="AR11" s="257"/>
      <c r="AS11" s="257"/>
      <c r="AT11" s="37"/>
    </row>
    <row r="12" spans="5:46" s="5" customFormat="1" ht="15.75" x14ac:dyDescent="0.25">
      <c r="E12" s="181"/>
      <c r="F12" s="167">
        <f>DATE(YEAR(F7),MONTH(F7)+1,1)-1</f>
        <v>31</v>
      </c>
      <c r="G12" s="168">
        <f>F12</f>
        <v>31</v>
      </c>
      <c r="H12" s="169"/>
      <c r="I12" s="170">
        <f>DATE(YEAR(F12),MONTH(F12)+2,1)-1</f>
        <v>60</v>
      </c>
      <c r="J12" s="168">
        <f>I12</f>
        <v>60</v>
      </c>
      <c r="K12" s="171"/>
      <c r="L12" s="170">
        <f>DATE(YEAR(I12),MONTH(I12)+2,1)-1</f>
        <v>91</v>
      </c>
      <c r="M12" s="168">
        <f>L12</f>
        <v>91</v>
      </c>
      <c r="N12" s="172"/>
      <c r="O12" s="170">
        <f>DATE(YEAR(L12),MONTH(L12)+2,1)-1</f>
        <v>121</v>
      </c>
      <c r="P12" s="168">
        <f>O12</f>
        <v>121</v>
      </c>
      <c r="Q12" s="172"/>
      <c r="R12" s="170">
        <f>DATE(YEAR(O12),MONTH(O12)+2,1)-1</f>
        <v>152</v>
      </c>
      <c r="S12" s="168">
        <f>R12</f>
        <v>152</v>
      </c>
      <c r="T12" s="172"/>
      <c r="U12" s="170">
        <f>DATE(YEAR(R12),MONTH(R12)+2,1)-1</f>
        <v>182</v>
      </c>
      <c r="V12" s="168">
        <f>U12</f>
        <v>182</v>
      </c>
      <c r="W12" s="172"/>
      <c r="X12" s="170">
        <f>DATE(YEAR(U12),MONTH(U12)+2,1)-1</f>
        <v>213</v>
      </c>
      <c r="Y12" s="168">
        <f>X12</f>
        <v>213</v>
      </c>
      <c r="Z12" s="172"/>
      <c r="AA12" s="170">
        <f>DATE(YEAR(X12),MONTH(X12)+2,1)-1</f>
        <v>244</v>
      </c>
      <c r="AB12" s="168">
        <f>AA12</f>
        <v>244</v>
      </c>
      <c r="AC12" s="172"/>
      <c r="AD12" s="170">
        <f>DATE(YEAR(AA12),MONTH(AA12)+2,1)-1</f>
        <v>274</v>
      </c>
      <c r="AE12" s="168">
        <f>AD12</f>
        <v>274</v>
      </c>
      <c r="AF12" s="172"/>
      <c r="AG12" s="170">
        <f>DATE(YEAR(AD12),MONTH(AD12)+2,1)-1</f>
        <v>305</v>
      </c>
      <c r="AH12" s="168">
        <f>AG12</f>
        <v>305</v>
      </c>
      <c r="AI12" s="172"/>
      <c r="AJ12" s="170">
        <f>DATE(YEAR(AG12),MONTH(AG12)+2,1)-1</f>
        <v>335</v>
      </c>
      <c r="AK12" s="168">
        <f>AJ12</f>
        <v>335</v>
      </c>
      <c r="AL12" s="172"/>
      <c r="AM12" s="170">
        <f t="shared" ref="AM12" si="0">DATE(YEAR(AJ12),MONTH(AJ12)+2,1)-1</f>
        <v>366</v>
      </c>
      <c r="AN12" s="168">
        <f>AM12</f>
        <v>366</v>
      </c>
      <c r="AO12" s="173"/>
      <c r="AQ12" s="258"/>
      <c r="AR12" s="258"/>
      <c r="AS12" s="258"/>
      <c r="AT12" s="38"/>
    </row>
    <row r="13" spans="5:46" s="5" customFormat="1" ht="3.75" customHeight="1" x14ac:dyDescent="0.25">
      <c r="E13" s="182"/>
      <c r="F13" s="174"/>
      <c r="G13" s="175"/>
      <c r="H13" s="176"/>
      <c r="I13" s="177"/>
      <c r="J13" s="178"/>
      <c r="K13" s="179"/>
      <c r="L13" s="177"/>
      <c r="M13" s="178"/>
      <c r="N13" s="179"/>
      <c r="O13" s="177"/>
      <c r="P13" s="178"/>
      <c r="Q13" s="179"/>
      <c r="R13" s="177"/>
      <c r="S13" s="178"/>
      <c r="T13" s="179"/>
      <c r="U13" s="177"/>
      <c r="V13" s="178"/>
      <c r="W13" s="179"/>
      <c r="X13" s="177"/>
      <c r="Y13" s="178"/>
      <c r="Z13" s="179"/>
      <c r="AA13" s="177"/>
      <c r="AB13" s="178"/>
      <c r="AC13" s="179"/>
      <c r="AD13" s="177"/>
      <c r="AE13" s="178"/>
      <c r="AF13" s="179"/>
      <c r="AG13" s="177"/>
      <c r="AH13" s="178"/>
      <c r="AI13" s="179"/>
      <c r="AJ13" s="177"/>
      <c r="AK13" s="178"/>
      <c r="AL13" s="179"/>
      <c r="AM13" s="177"/>
      <c r="AN13" s="178"/>
      <c r="AO13" s="180"/>
      <c r="AQ13" s="81"/>
      <c r="AR13" s="81"/>
      <c r="AS13" s="81"/>
      <c r="AT13" s="38"/>
    </row>
    <row r="14" spans="5:46" s="5" customFormat="1" ht="15.75" customHeight="1" x14ac:dyDescent="0.3">
      <c r="E14" s="241" t="s">
        <v>42</v>
      </c>
      <c r="F14" s="242" t="s">
        <v>49</v>
      </c>
      <c r="G14" s="242" t="s">
        <v>50</v>
      </c>
      <c r="H14" s="242" t="s">
        <v>51</v>
      </c>
      <c r="I14" s="242" t="s">
        <v>49</v>
      </c>
      <c r="J14" s="242" t="s">
        <v>50</v>
      </c>
      <c r="K14" s="242" t="s">
        <v>51</v>
      </c>
      <c r="L14" s="242" t="s">
        <v>49</v>
      </c>
      <c r="M14" s="242" t="s">
        <v>50</v>
      </c>
      <c r="N14" s="242" t="s">
        <v>51</v>
      </c>
      <c r="O14" s="242" t="s">
        <v>49</v>
      </c>
      <c r="P14" s="242" t="s">
        <v>50</v>
      </c>
      <c r="Q14" s="242" t="s">
        <v>51</v>
      </c>
      <c r="R14" s="242" t="s">
        <v>49</v>
      </c>
      <c r="S14" s="242" t="s">
        <v>50</v>
      </c>
      <c r="T14" s="242" t="s">
        <v>51</v>
      </c>
      <c r="U14" s="242" t="s">
        <v>49</v>
      </c>
      <c r="V14" s="242" t="s">
        <v>50</v>
      </c>
      <c r="W14" s="242" t="s">
        <v>51</v>
      </c>
      <c r="X14" s="242" t="s">
        <v>49</v>
      </c>
      <c r="Y14" s="242" t="s">
        <v>50</v>
      </c>
      <c r="Z14" s="242" t="s">
        <v>51</v>
      </c>
      <c r="AA14" s="242" t="s">
        <v>49</v>
      </c>
      <c r="AB14" s="242" t="s">
        <v>50</v>
      </c>
      <c r="AC14" s="242" t="s">
        <v>51</v>
      </c>
      <c r="AD14" s="242" t="s">
        <v>49</v>
      </c>
      <c r="AE14" s="242" t="s">
        <v>50</v>
      </c>
      <c r="AF14" s="242" t="s">
        <v>51</v>
      </c>
      <c r="AG14" s="242" t="s">
        <v>49</v>
      </c>
      <c r="AH14" s="242" t="s">
        <v>50</v>
      </c>
      <c r="AI14" s="242" t="s">
        <v>51</v>
      </c>
      <c r="AJ14" s="242" t="s">
        <v>49</v>
      </c>
      <c r="AK14" s="242" t="s">
        <v>50</v>
      </c>
      <c r="AL14" s="242" t="s">
        <v>51</v>
      </c>
      <c r="AM14" s="242" t="s">
        <v>49</v>
      </c>
      <c r="AN14" s="242" t="s">
        <v>50</v>
      </c>
      <c r="AO14" s="243" t="s">
        <v>51</v>
      </c>
      <c r="AQ14" s="80"/>
      <c r="AR14" s="80"/>
      <c r="AS14" s="80"/>
      <c r="AT14" s="36"/>
    </row>
    <row r="15" spans="5:46" s="5" customFormat="1" ht="15.75" customHeight="1" x14ac:dyDescent="0.3">
      <c r="E15" s="6" t="s">
        <v>30</v>
      </c>
      <c r="F15" s="42"/>
      <c r="G15" s="42"/>
      <c r="H15" s="21">
        <f>G15-F15</f>
        <v>0</v>
      </c>
      <c r="I15" s="42"/>
      <c r="J15" s="42"/>
      <c r="K15" s="21">
        <f>J15-I15</f>
        <v>0</v>
      </c>
      <c r="L15" s="42"/>
      <c r="M15" s="42"/>
      <c r="N15" s="21">
        <f>M15-L15</f>
        <v>0</v>
      </c>
      <c r="O15" s="42"/>
      <c r="P15" s="42"/>
      <c r="Q15" s="21">
        <f>P15-O15</f>
        <v>0</v>
      </c>
      <c r="R15" s="42"/>
      <c r="S15" s="42"/>
      <c r="T15" s="21">
        <f>S15-R15</f>
        <v>0</v>
      </c>
      <c r="U15" s="42"/>
      <c r="V15" s="42"/>
      <c r="W15" s="21">
        <f>V15-U15</f>
        <v>0</v>
      </c>
      <c r="X15" s="42"/>
      <c r="Y15" s="42"/>
      <c r="Z15" s="21">
        <f>Y15-X15</f>
        <v>0</v>
      </c>
      <c r="AA15" s="42"/>
      <c r="AB15" s="42"/>
      <c r="AC15" s="21">
        <f>AB15-AA15</f>
        <v>0</v>
      </c>
      <c r="AD15" s="42"/>
      <c r="AE15" s="42"/>
      <c r="AF15" s="21">
        <f>AE15-AD15</f>
        <v>0</v>
      </c>
      <c r="AG15" s="42"/>
      <c r="AH15" s="42"/>
      <c r="AI15" s="21">
        <f>AH15-AG15</f>
        <v>0</v>
      </c>
      <c r="AJ15" s="42"/>
      <c r="AK15" s="42"/>
      <c r="AL15" s="21">
        <f>AK15-AJ15</f>
        <v>0</v>
      </c>
      <c r="AM15" s="42"/>
      <c r="AN15" s="42"/>
      <c r="AO15" s="22">
        <f>AN15-AM15</f>
        <v>0</v>
      </c>
      <c r="AQ15" s="80"/>
      <c r="AR15" s="80"/>
      <c r="AS15" s="80"/>
      <c r="AT15" s="36"/>
    </row>
    <row r="16" spans="5:46" s="5" customFormat="1" ht="15.75" x14ac:dyDescent="0.25">
      <c r="E16" s="7" t="s">
        <v>31</v>
      </c>
      <c r="F16" s="43"/>
      <c r="G16" s="43"/>
      <c r="H16" s="21">
        <f t="shared" ref="H16:H21" si="1">G16-F16</f>
        <v>0</v>
      </c>
      <c r="I16" s="43"/>
      <c r="J16" s="43"/>
      <c r="K16" s="21">
        <f t="shared" ref="K16:K21" si="2">J16-I16</f>
        <v>0</v>
      </c>
      <c r="L16" s="43"/>
      <c r="M16" s="43"/>
      <c r="N16" s="21">
        <f t="shared" ref="N16:N21" si="3">M16-L16</f>
        <v>0</v>
      </c>
      <c r="O16" s="43"/>
      <c r="P16" s="43"/>
      <c r="Q16" s="21">
        <f t="shared" ref="Q16:Q21" si="4">P16-O16</f>
        <v>0</v>
      </c>
      <c r="R16" s="43"/>
      <c r="S16" s="43"/>
      <c r="T16" s="21">
        <f t="shared" ref="T16:T21" si="5">S16-R16</f>
        <v>0</v>
      </c>
      <c r="U16" s="43"/>
      <c r="V16" s="43"/>
      <c r="W16" s="21">
        <f t="shared" ref="W16:W21" si="6">V16-U16</f>
        <v>0</v>
      </c>
      <c r="X16" s="43"/>
      <c r="Y16" s="43"/>
      <c r="Z16" s="21">
        <f t="shared" ref="Z16:Z21" si="7">Y16-X16</f>
        <v>0</v>
      </c>
      <c r="AA16" s="43"/>
      <c r="AB16" s="43"/>
      <c r="AC16" s="21">
        <f t="shared" ref="AC16:AC21" si="8">AB16-AA16</f>
        <v>0</v>
      </c>
      <c r="AD16" s="43"/>
      <c r="AE16" s="43"/>
      <c r="AF16" s="21">
        <f t="shared" ref="AF16:AF21" si="9">AE16-AD16</f>
        <v>0</v>
      </c>
      <c r="AG16" s="43"/>
      <c r="AH16" s="43"/>
      <c r="AI16" s="23">
        <f t="shared" ref="AI16:AI21" si="10">AH16-AG16</f>
        <v>0</v>
      </c>
      <c r="AJ16" s="43"/>
      <c r="AK16" s="43"/>
      <c r="AL16" s="23">
        <f t="shared" ref="AL16:AL21" si="11">AK16-AJ16</f>
        <v>0</v>
      </c>
      <c r="AM16" s="43"/>
      <c r="AN16" s="43"/>
      <c r="AO16" s="24">
        <f t="shared" ref="AO16:AO21" si="12">AN16-AM16</f>
        <v>0</v>
      </c>
    </row>
    <row r="17" spans="5:41" s="5" customFormat="1" ht="15.75" x14ac:dyDescent="0.25">
      <c r="E17" s="7" t="s">
        <v>32</v>
      </c>
      <c r="F17" s="43"/>
      <c r="G17" s="43"/>
      <c r="H17" s="21">
        <f t="shared" si="1"/>
        <v>0</v>
      </c>
      <c r="I17" s="43"/>
      <c r="J17" s="43"/>
      <c r="K17" s="21">
        <f t="shared" si="2"/>
        <v>0</v>
      </c>
      <c r="L17" s="43"/>
      <c r="M17" s="43"/>
      <c r="N17" s="21">
        <f t="shared" si="3"/>
        <v>0</v>
      </c>
      <c r="O17" s="43"/>
      <c r="P17" s="43"/>
      <c r="Q17" s="21">
        <f t="shared" si="4"/>
        <v>0</v>
      </c>
      <c r="R17" s="43"/>
      <c r="S17" s="43"/>
      <c r="T17" s="21">
        <f t="shared" si="5"/>
        <v>0</v>
      </c>
      <c r="U17" s="43"/>
      <c r="V17" s="43"/>
      <c r="W17" s="21">
        <f t="shared" si="6"/>
        <v>0</v>
      </c>
      <c r="X17" s="43"/>
      <c r="Y17" s="43"/>
      <c r="Z17" s="21">
        <f t="shared" si="7"/>
        <v>0</v>
      </c>
      <c r="AA17" s="43"/>
      <c r="AB17" s="43"/>
      <c r="AC17" s="21">
        <f t="shared" si="8"/>
        <v>0</v>
      </c>
      <c r="AD17" s="43"/>
      <c r="AE17" s="43"/>
      <c r="AF17" s="21">
        <f t="shared" si="9"/>
        <v>0</v>
      </c>
      <c r="AG17" s="43"/>
      <c r="AH17" s="43"/>
      <c r="AI17" s="23">
        <f t="shared" si="10"/>
        <v>0</v>
      </c>
      <c r="AJ17" s="43"/>
      <c r="AK17" s="43"/>
      <c r="AL17" s="23">
        <f t="shared" si="11"/>
        <v>0</v>
      </c>
      <c r="AM17" s="43"/>
      <c r="AN17" s="43"/>
      <c r="AO17" s="24">
        <f t="shared" si="12"/>
        <v>0</v>
      </c>
    </row>
    <row r="18" spans="5:41" s="5" customFormat="1" ht="15.75" x14ac:dyDescent="0.25">
      <c r="E18" s="7" t="s">
        <v>0</v>
      </c>
      <c r="F18" s="43"/>
      <c r="G18" s="43"/>
      <c r="H18" s="21">
        <f t="shared" si="1"/>
        <v>0</v>
      </c>
      <c r="I18" s="43"/>
      <c r="J18" s="43"/>
      <c r="K18" s="21">
        <f t="shared" si="2"/>
        <v>0</v>
      </c>
      <c r="L18" s="43"/>
      <c r="M18" s="43"/>
      <c r="N18" s="21">
        <f t="shared" si="3"/>
        <v>0</v>
      </c>
      <c r="O18" s="43"/>
      <c r="P18" s="43"/>
      <c r="Q18" s="21">
        <f t="shared" si="4"/>
        <v>0</v>
      </c>
      <c r="R18" s="43"/>
      <c r="S18" s="43"/>
      <c r="T18" s="21">
        <f t="shared" si="5"/>
        <v>0</v>
      </c>
      <c r="U18" s="43"/>
      <c r="V18" s="43"/>
      <c r="W18" s="21">
        <f t="shared" si="6"/>
        <v>0</v>
      </c>
      <c r="X18" s="43"/>
      <c r="Y18" s="43"/>
      <c r="Z18" s="21">
        <f t="shared" si="7"/>
        <v>0</v>
      </c>
      <c r="AA18" s="43"/>
      <c r="AB18" s="43"/>
      <c r="AC18" s="21">
        <f t="shared" si="8"/>
        <v>0</v>
      </c>
      <c r="AD18" s="43"/>
      <c r="AE18" s="43"/>
      <c r="AF18" s="21">
        <f t="shared" si="9"/>
        <v>0</v>
      </c>
      <c r="AG18" s="43"/>
      <c r="AH18" s="43"/>
      <c r="AI18" s="23">
        <f t="shared" si="10"/>
        <v>0</v>
      </c>
      <c r="AJ18" s="43"/>
      <c r="AK18" s="43"/>
      <c r="AL18" s="23">
        <f t="shared" si="11"/>
        <v>0</v>
      </c>
      <c r="AM18" s="43"/>
      <c r="AN18" s="43"/>
      <c r="AO18" s="24">
        <f t="shared" si="12"/>
        <v>0</v>
      </c>
    </row>
    <row r="19" spans="5:41" s="5" customFormat="1" ht="15.75" hidden="1" outlineLevel="1" x14ac:dyDescent="0.25">
      <c r="E19" s="7"/>
      <c r="F19" s="43"/>
      <c r="G19" s="43"/>
      <c r="H19" s="21">
        <f t="shared" si="1"/>
        <v>0</v>
      </c>
      <c r="I19" s="43"/>
      <c r="J19" s="43"/>
      <c r="K19" s="21">
        <f t="shared" si="2"/>
        <v>0</v>
      </c>
      <c r="L19" s="43"/>
      <c r="M19" s="43"/>
      <c r="N19" s="21">
        <f t="shared" si="3"/>
        <v>0</v>
      </c>
      <c r="O19" s="43"/>
      <c r="P19" s="43"/>
      <c r="Q19" s="21">
        <f t="shared" si="4"/>
        <v>0</v>
      </c>
      <c r="R19" s="43"/>
      <c r="S19" s="43"/>
      <c r="T19" s="21">
        <f t="shared" si="5"/>
        <v>0</v>
      </c>
      <c r="U19" s="43"/>
      <c r="V19" s="43"/>
      <c r="W19" s="21">
        <f t="shared" si="6"/>
        <v>0</v>
      </c>
      <c r="X19" s="43"/>
      <c r="Y19" s="43"/>
      <c r="Z19" s="21">
        <f t="shared" si="7"/>
        <v>0</v>
      </c>
      <c r="AA19" s="43"/>
      <c r="AB19" s="43"/>
      <c r="AC19" s="21">
        <f t="shared" si="8"/>
        <v>0</v>
      </c>
      <c r="AD19" s="43"/>
      <c r="AE19" s="43"/>
      <c r="AF19" s="21">
        <f t="shared" si="9"/>
        <v>0</v>
      </c>
      <c r="AG19" s="43"/>
      <c r="AH19" s="43"/>
      <c r="AI19" s="23">
        <f t="shared" si="10"/>
        <v>0</v>
      </c>
      <c r="AJ19" s="43"/>
      <c r="AK19" s="43"/>
      <c r="AL19" s="23">
        <f t="shared" si="11"/>
        <v>0</v>
      </c>
      <c r="AM19" s="43"/>
      <c r="AN19" s="43"/>
      <c r="AO19" s="24">
        <f t="shared" si="12"/>
        <v>0</v>
      </c>
    </row>
    <row r="20" spans="5:41" s="5" customFormat="1" ht="15.75" hidden="1" outlineLevel="1" x14ac:dyDescent="0.25">
      <c r="E20" s="7"/>
      <c r="F20" s="43"/>
      <c r="G20" s="43"/>
      <c r="H20" s="21">
        <f t="shared" si="1"/>
        <v>0</v>
      </c>
      <c r="I20" s="43"/>
      <c r="J20" s="43"/>
      <c r="K20" s="21">
        <f t="shared" si="2"/>
        <v>0</v>
      </c>
      <c r="L20" s="43"/>
      <c r="M20" s="43"/>
      <c r="N20" s="21">
        <f t="shared" si="3"/>
        <v>0</v>
      </c>
      <c r="O20" s="43"/>
      <c r="P20" s="43"/>
      <c r="Q20" s="21">
        <f t="shared" si="4"/>
        <v>0</v>
      </c>
      <c r="R20" s="43"/>
      <c r="S20" s="43"/>
      <c r="T20" s="21">
        <f t="shared" si="5"/>
        <v>0</v>
      </c>
      <c r="U20" s="43"/>
      <c r="V20" s="43"/>
      <c r="W20" s="21">
        <f t="shared" si="6"/>
        <v>0</v>
      </c>
      <c r="X20" s="43"/>
      <c r="Y20" s="43"/>
      <c r="Z20" s="21">
        <f t="shared" si="7"/>
        <v>0</v>
      </c>
      <c r="AA20" s="43"/>
      <c r="AB20" s="43"/>
      <c r="AC20" s="21">
        <f t="shared" si="8"/>
        <v>0</v>
      </c>
      <c r="AD20" s="43"/>
      <c r="AE20" s="43"/>
      <c r="AF20" s="21">
        <f t="shared" si="9"/>
        <v>0</v>
      </c>
      <c r="AG20" s="43"/>
      <c r="AH20" s="43"/>
      <c r="AI20" s="23">
        <f t="shared" si="10"/>
        <v>0</v>
      </c>
      <c r="AJ20" s="43"/>
      <c r="AK20" s="43"/>
      <c r="AL20" s="23">
        <f t="shared" si="11"/>
        <v>0</v>
      </c>
      <c r="AM20" s="43"/>
      <c r="AN20" s="43"/>
      <c r="AO20" s="24">
        <f t="shared" si="12"/>
        <v>0</v>
      </c>
    </row>
    <row r="21" spans="5:41" s="5" customFormat="1" ht="15.75" hidden="1" outlineLevel="1" x14ac:dyDescent="0.25">
      <c r="E21" s="8"/>
      <c r="F21" s="44"/>
      <c r="G21" s="44"/>
      <c r="H21" s="21">
        <f t="shared" si="1"/>
        <v>0</v>
      </c>
      <c r="I21" s="44"/>
      <c r="J21" s="44"/>
      <c r="K21" s="21">
        <f t="shared" si="2"/>
        <v>0</v>
      </c>
      <c r="L21" s="44"/>
      <c r="M21" s="44"/>
      <c r="N21" s="21">
        <f t="shared" si="3"/>
        <v>0</v>
      </c>
      <c r="O21" s="44"/>
      <c r="P21" s="44"/>
      <c r="Q21" s="21">
        <f t="shared" si="4"/>
        <v>0</v>
      </c>
      <c r="R21" s="44"/>
      <c r="S21" s="44"/>
      <c r="T21" s="21">
        <f t="shared" si="5"/>
        <v>0</v>
      </c>
      <c r="U21" s="44"/>
      <c r="V21" s="44"/>
      <c r="W21" s="21">
        <f t="shared" si="6"/>
        <v>0</v>
      </c>
      <c r="X21" s="44"/>
      <c r="Y21" s="44"/>
      <c r="Z21" s="21">
        <f t="shared" si="7"/>
        <v>0</v>
      </c>
      <c r="AA21" s="44"/>
      <c r="AB21" s="44"/>
      <c r="AC21" s="21">
        <f t="shared" si="8"/>
        <v>0</v>
      </c>
      <c r="AD21" s="44"/>
      <c r="AE21" s="44"/>
      <c r="AF21" s="21">
        <f t="shared" si="9"/>
        <v>0</v>
      </c>
      <c r="AG21" s="44"/>
      <c r="AH21" s="44"/>
      <c r="AI21" s="25">
        <f t="shared" si="10"/>
        <v>0</v>
      </c>
      <c r="AJ21" s="44"/>
      <c r="AK21" s="44"/>
      <c r="AL21" s="25">
        <f t="shared" si="11"/>
        <v>0</v>
      </c>
      <c r="AM21" s="44"/>
      <c r="AN21" s="44"/>
      <c r="AO21" s="26">
        <f t="shared" si="12"/>
        <v>0</v>
      </c>
    </row>
    <row r="22" spans="5:41" s="5" customFormat="1" ht="15.75" collapsed="1" x14ac:dyDescent="0.25">
      <c r="E22" s="9" t="s">
        <v>45</v>
      </c>
      <c r="F22" s="27">
        <f>SUM(F15:F21)+$F$9</f>
        <v>0</v>
      </c>
      <c r="G22" s="27">
        <f t="shared" ref="G22:AO22" si="13">SUM(G15:G21)</f>
        <v>0</v>
      </c>
      <c r="H22" s="27">
        <f t="shared" si="13"/>
        <v>0</v>
      </c>
      <c r="I22" s="27">
        <f t="shared" si="13"/>
        <v>0</v>
      </c>
      <c r="J22" s="27">
        <f t="shared" si="13"/>
        <v>0</v>
      </c>
      <c r="K22" s="27">
        <f t="shared" si="13"/>
        <v>0</v>
      </c>
      <c r="L22" s="27">
        <f t="shared" si="13"/>
        <v>0</v>
      </c>
      <c r="M22" s="27">
        <f t="shared" si="13"/>
        <v>0</v>
      </c>
      <c r="N22" s="27">
        <f t="shared" si="13"/>
        <v>0</v>
      </c>
      <c r="O22" s="27">
        <f t="shared" si="13"/>
        <v>0</v>
      </c>
      <c r="P22" s="27">
        <f t="shared" si="13"/>
        <v>0</v>
      </c>
      <c r="Q22" s="27">
        <f t="shared" si="13"/>
        <v>0</v>
      </c>
      <c r="R22" s="27">
        <f t="shared" si="13"/>
        <v>0</v>
      </c>
      <c r="S22" s="27">
        <f t="shared" si="13"/>
        <v>0</v>
      </c>
      <c r="T22" s="27">
        <f t="shared" si="13"/>
        <v>0</v>
      </c>
      <c r="U22" s="27">
        <f t="shared" si="13"/>
        <v>0</v>
      </c>
      <c r="V22" s="27">
        <f t="shared" si="13"/>
        <v>0</v>
      </c>
      <c r="W22" s="27">
        <f t="shared" si="13"/>
        <v>0</v>
      </c>
      <c r="X22" s="27">
        <f t="shared" si="13"/>
        <v>0</v>
      </c>
      <c r="Y22" s="27">
        <f t="shared" si="13"/>
        <v>0</v>
      </c>
      <c r="Z22" s="27">
        <f t="shared" si="13"/>
        <v>0</v>
      </c>
      <c r="AA22" s="27">
        <f t="shared" si="13"/>
        <v>0</v>
      </c>
      <c r="AB22" s="27">
        <f t="shared" si="13"/>
        <v>0</v>
      </c>
      <c r="AC22" s="27">
        <f t="shared" si="13"/>
        <v>0</v>
      </c>
      <c r="AD22" s="27">
        <f t="shared" si="13"/>
        <v>0</v>
      </c>
      <c r="AE22" s="27">
        <f t="shared" si="13"/>
        <v>0</v>
      </c>
      <c r="AF22" s="27">
        <f t="shared" si="13"/>
        <v>0</v>
      </c>
      <c r="AG22" s="27">
        <f t="shared" si="13"/>
        <v>0</v>
      </c>
      <c r="AH22" s="27">
        <f t="shared" si="13"/>
        <v>0</v>
      </c>
      <c r="AI22" s="27">
        <f t="shared" si="13"/>
        <v>0</v>
      </c>
      <c r="AJ22" s="27">
        <f t="shared" si="13"/>
        <v>0</v>
      </c>
      <c r="AK22" s="27">
        <f t="shared" si="13"/>
        <v>0</v>
      </c>
      <c r="AL22" s="27">
        <f t="shared" si="13"/>
        <v>0</v>
      </c>
      <c r="AM22" s="27">
        <f t="shared" si="13"/>
        <v>0</v>
      </c>
      <c r="AN22" s="27">
        <f t="shared" si="13"/>
        <v>0</v>
      </c>
      <c r="AO22" s="28">
        <f t="shared" si="13"/>
        <v>0</v>
      </c>
    </row>
    <row r="23" spans="5:41" s="11" customFormat="1" ht="7.5" customHeight="1" x14ac:dyDescent="0.25">
      <c r="E23" s="10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</row>
    <row r="24" spans="5:41" s="5" customFormat="1" ht="15.75" x14ac:dyDescent="0.25">
      <c r="E24" s="183" t="s">
        <v>47</v>
      </c>
      <c r="F24" s="184"/>
      <c r="G24" s="184"/>
      <c r="H24" s="184"/>
      <c r="I24" s="184"/>
      <c r="J24" s="184"/>
      <c r="K24" s="184"/>
      <c r="L24" s="184"/>
      <c r="M24" s="184"/>
      <c r="N24" s="184"/>
      <c r="O24" s="184"/>
      <c r="P24" s="184"/>
      <c r="Q24" s="184"/>
      <c r="R24" s="184"/>
      <c r="S24" s="184"/>
      <c r="T24" s="184"/>
      <c r="U24" s="184"/>
      <c r="V24" s="184"/>
      <c r="W24" s="184"/>
      <c r="X24" s="184"/>
      <c r="Y24" s="184"/>
      <c r="Z24" s="184"/>
      <c r="AA24" s="184"/>
      <c r="AB24" s="184"/>
      <c r="AC24" s="184"/>
      <c r="AD24" s="184"/>
      <c r="AE24" s="184"/>
      <c r="AF24" s="184"/>
      <c r="AG24" s="184"/>
      <c r="AH24" s="184"/>
      <c r="AI24" s="184"/>
      <c r="AJ24" s="184"/>
      <c r="AK24" s="185"/>
      <c r="AL24" s="185"/>
      <c r="AM24" s="184"/>
      <c r="AN24" s="185"/>
      <c r="AO24" s="186"/>
    </row>
    <row r="25" spans="5:41" s="5" customFormat="1" ht="15.75" x14ac:dyDescent="0.25">
      <c r="E25" s="7" t="s">
        <v>29</v>
      </c>
      <c r="F25" s="43">
        <f>$F$8*(F22-$F$9)</f>
        <v>0</v>
      </c>
      <c r="G25" s="43"/>
      <c r="H25" s="21">
        <f>G25-F25</f>
        <v>0</v>
      </c>
      <c r="I25" s="33">
        <f>$F$8*I22</f>
        <v>0</v>
      </c>
      <c r="J25" s="43"/>
      <c r="K25" s="23">
        <f>J25-I25</f>
        <v>0</v>
      </c>
      <c r="L25" s="33">
        <f>$F$8*L22</f>
        <v>0</v>
      </c>
      <c r="M25" s="43"/>
      <c r="N25" s="23">
        <f>M25-L25</f>
        <v>0</v>
      </c>
      <c r="O25" s="33">
        <f>$F$8*O22</f>
        <v>0</v>
      </c>
      <c r="P25" s="43"/>
      <c r="Q25" s="23">
        <f>P25-O25</f>
        <v>0</v>
      </c>
      <c r="R25" s="43">
        <f>$F$8*R22</f>
        <v>0</v>
      </c>
      <c r="S25" s="43"/>
      <c r="T25" s="23">
        <f>S25-R25</f>
        <v>0</v>
      </c>
      <c r="U25" s="43">
        <f>$F$8*U22</f>
        <v>0</v>
      </c>
      <c r="V25" s="43"/>
      <c r="W25" s="23">
        <f>V25-U25</f>
        <v>0</v>
      </c>
      <c r="X25" s="43">
        <f>$F$8*X22</f>
        <v>0</v>
      </c>
      <c r="Y25" s="43"/>
      <c r="Z25" s="23">
        <f>Y25-X25</f>
        <v>0</v>
      </c>
      <c r="AA25" s="43">
        <f>$F$8*AA22</f>
        <v>0</v>
      </c>
      <c r="AB25" s="43"/>
      <c r="AC25" s="23">
        <f>AB25-AA25</f>
        <v>0</v>
      </c>
      <c r="AD25" s="43">
        <f>$F$8*AD22</f>
        <v>0</v>
      </c>
      <c r="AE25" s="43"/>
      <c r="AF25" s="23">
        <f>AE25-AD25</f>
        <v>0</v>
      </c>
      <c r="AG25" s="43">
        <f>$F$8*AG22</f>
        <v>0</v>
      </c>
      <c r="AH25" s="43"/>
      <c r="AI25" s="23">
        <f>AH25-AG25</f>
        <v>0</v>
      </c>
      <c r="AJ25" s="43">
        <f>$F$8*AJ22</f>
        <v>0</v>
      </c>
      <c r="AK25" s="45"/>
      <c r="AL25" s="30">
        <f>AK25-AJ25</f>
        <v>0</v>
      </c>
      <c r="AM25" s="43">
        <f>$F$8*AM22</f>
        <v>0</v>
      </c>
      <c r="AN25" s="45"/>
      <c r="AO25" s="24">
        <f>AN25-AM25</f>
        <v>0</v>
      </c>
    </row>
    <row r="26" spans="5:41" s="5" customFormat="1" ht="15.75" x14ac:dyDescent="0.25">
      <c r="E26" s="9" t="s">
        <v>48</v>
      </c>
      <c r="F26" s="27">
        <f>SUM(F25:F25)</f>
        <v>0</v>
      </c>
      <c r="G26" s="27">
        <f t="shared" ref="G26:AO26" si="14">SUM(G25:G25)</f>
        <v>0</v>
      </c>
      <c r="H26" s="27">
        <f t="shared" si="14"/>
        <v>0</v>
      </c>
      <c r="I26" s="27">
        <f t="shared" si="14"/>
        <v>0</v>
      </c>
      <c r="J26" s="27">
        <f t="shared" si="14"/>
        <v>0</v>
      </c>
      <c r="K26" s="27">
        <f t="shared" si="14"/>
        <v>0</v>
      </c>
      <c r="L26" s="27">
        <f t="shared" si="14"/>
        <v>0</v>
      </c>
      <c r="M26" s="27">
        <f t="shared" si="14"/>
        <v>0</v>
      </c>
      <c r="N26" s="27">
        <f t="shared" si="14"/>
        <v>0</v>
      </c>
      <c r="O26" s="27">
        <f t="shared" si="14"/>
        <v>0</v>
      </c>
      <c r="P26" s="27">
        <f t="shared" si="14"/>
        <v>0</v>
      </c>
      <c r="Q26" s="27">
        <f t="shared" si="14"/>
        <v>0</v>
      </c>
      <c r="R26" s="27">
        <f t="shared" si="14"/>
        <v>0</v>
      </c>
      <c r="S26" s="27">
        <f t="shared" si="14"/>
        <v>0</v>
      </c>
      <c r="T26" s="27">
        <f t="shared" si="14"/>
        <v>0</v>
      </c>
      <c r="U26" s="27">
        <f t="shared" si="14"/>
        <v>0</v>
      </c>
      <c r="V26" s="27">
        <f t="shared" si="14"/>
        <v>0</v>
      </c>
      <c r="W26" s="27">
        <f t="shared" si="14"/>
        <v>0</v>
      </c>
      <c r="X26" s="27">
        <f t="shared" si="14"/>
        <v>0</v>
      </c>
      <c r="Y26" s="27">
        <f t="shared" si="14"/>
        <v>0</v>
      </c>
      <c r="Z26" s="27">
        <f t="shared" si="14"/>
        <v>0</v>
      </c>
      <c r="AA26" s="27">
        <f t="shared" si="14"/>
        <v>0</v>
      </c>
      <c r="AB26" s="27">
        <f t="shared" si="14"/>
        <v>0</v>
      </c>
      <c r="AC26" s="27">
        <f t="shared" si="14"/>
        <v>0</v>
      </c>
      <c r="AD26" s="27">
        <f t="shared" si="14"/>
        <v>0</v>
      </c>
      <c r="AE26" s="27">
        <f t="shared" si="14"/>
        <v>0</v>
      </c>
      <c r="AF26" s="27">
        <f t="shared" si="14"/>
        <v>0</v>
      </c>
      <c r="AG26" s="27">
        <f t="shared" si="14"/>
        <v>0</v>
      </c>
      <c r="AH26" s="27">
        <f t="shared" si="14"/>
        <v>0</v>
      </c>
      <c r="AI26" s="27">
        <f t="shared" si="14"/>
        <v>0</v>
      </c>
      <c r="AJ26" s="27">
        <f t="shared" si="14"/>
        <v>0</v>
      </c>
      <c r="AK26" s="31">
        <f t="shared" si="14"/>
        <v>0</v>
      </c>
      <c r="AL26" s="31">
        <f t="shared" si="14"/>
        <v>0</v>
      </c>
      <c r="AM26" s="27">
        <f t="shared" si="14"/>
        <v>0</v>
      </c>
      <c r="AN26" s="31">
        <f t="shared" si="14"/>
        <v>0</v>
      </c>
      <c r="AO26" s="28">
        <f t="shared" si="14"/>
        <v>0</v>
      </c>
    </row>
    <row r="27" spans="5:41" s="11" customFormat="1" ht="7.5" customHeight="1" x14ac:dyDescent="0.25">
      <c r="E27" s="10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</row>
    <row r="28" spans="5:41" s="5" customFormat="1" ht="15.75" x14ac:dyDescent="0.25">
      <c r="E28" s="183" t="s">
        <v>58</v>
      </c>
      <c r="F28" s="187"/>
      <c r="G28" s="187"/>
      <c r="H28" s="187"/>
      <c r="I28" s="187"/>
      <c r="J28" s="187"/>
      <c r="K28" s="187"/>
      <c r="L28" s="187"/>
      <c r="M28" s="187"/>
      <c r="N28" s="187"/>
      <c r="O28" s="187"/>
      <c r="P28" s="187"/>
      <c r="Q28" s="187"/>
      <c r="R28" s="187"/>
      <c r="S28" s="187"/>
      <c r="T28" s="187"/>
      <c r="U28" s="187"/>
      <c r="V28" s="187"/>
      <c r="W28" s="187"/>
      <c r="X28" s="187"/>
      <c r="Y28" s="187"/>
      <c r="Z28" s="187"/>
      <c r="AA28" s="187"/>
      <c r="AB28" s="187"/>
      <c r="AC28" s="187"/>
      <c r="AD28" s="187"/>
      <c r="AE28" s="187"/>
      <c r="AF28" s="187"/>
      <c r="AG28" s="187"/>
      <c r="AH28" s="187"/>
      <c r="AI28" s="187"/>
      <c r="AJ28" s="187"/>
      <c r="AK28" s="188"/>
      <c r="AL28" s="188"/>
      <c r="AM28" s="187"/>
      <c r="AN28" s="188"/>
      <c r="AO28" s="189"/>
    </row>
    <row r="29" spans="5:41" s="5" customFormat="1" ht="15.75" x14ac:dyDescent="0.25">
      <c r="E29" s="12" t="s">
        <v>1</v>
      </c>
      <c r="F29" s="21">
        <f>SUM(F30:F39)</f>
        <v>0</v>
      </c>
      <c r="G29" s="21">
        <f t="shared" ref="G29:AO29" si="15">SUM(G30:G39)</f>
        <v>0</v>
      </c>
      <c r="H29" s="21">
        <f t="shared" si="15"/>
        <v>0</v>
      </c>
      <c r="I29" s="21">
        <f t="shared" si="15"/>
        <v>0</v>
      </c>
      <c r="J29" s="21">
        <f t="shared" si="15"/>
        <v>0</v>
      </c>
      <c r="K29" s="21">
        <f t="shared" si="15"/>
        <v>0</v>
      </c>
      <c r="L29" s="21">
        <f t="shared" si="15"/>
        <v>0</v>
      </c>
      <c r="M29" s="21">
        <f t="shared" si="15"/>
        <v>0</v>
      </c>
      <c r="N29" s="21">
        <f t="shared" si="15"/>
        <v>0</v>
      </c>
      <c r="O29" s="21">
        <f t="shared" si="15"/>
        <v>0</v>
      </c>
      <c r="P29" s="21">
        <f t="shared" si="15"/>
        <v>0</v>
      </c>
      <c r="Q29" s="21">
        <f t="shared" si="15"/>
        <v>0</v>
      </c>
      <c r="R29" s="21">
        <f t="shared" si="15"/>
        <v>0</v>
      </c>
      <c r="S29" s="21">
        <f t="shared" si="15"/>
        <v>0</v>
      </c>
      <c r="T29" s="21">
        <f t="shared" si="15"/>
        <v>0</v>
      </c>
      <c r="U29" s="21">
        <f t="shared" si="15"/>
        <v>0</v>
      </c>
      <c r="V29" s="21">
        <f t="shared" si="15"/>
        <v>0</v>
      </c>
      <c r="W29" s="21">
        <f t="shared" si="15"/>
        <v>0</v>
      </c>
      <c r="X29" s="21">
        <f t="shared" si="15"/>
        <v>0</v>
      </c>
      <c r="Y29" s="21">
        <f t="shared" si="15"/>
        <v>0</v>
      </c>
      <c r="Z29" s="21">
        <f t="shared" si="15"/>
        <v>0</v>
      </c>
      <c r="AA29" s="21">
        <f t="shared" si="15"/>
        <v>0</v>
      </c>
      <c r="AB29" s="21">
        <f t="shared" si="15"/>
        <v>0</v>
      </c>
      <c r="AC29" s="21">
        <f t="shared" si="15"/>
        <v>0</v>
      </c>
      <c r="AD29" s="21">
        <f t="shared" si="15"/>
        <v>0</v>
      </c>
      <c r="AE29" s="21">
        <f t="shared" si="15"/>
        <v>0</v>
      </c>
      <c r="AF29" s="21">
        <f t="shared" si="15"/>
        <v>0</v>
      </c>
      <c r="AG29" s="21">
        <f t="shared" si="15"/>
        <v>0</v>
      </c>
      <c r="AH29" s="21">
        <f t="shared" si="15"/>
        <v>0</v>
      </c>
      <c r="AI29" s="21">
        <f t="shared" si="15"/>
        <v>0</v>
      </c>
      <c r="AJ29" s="21">
        <f t="shared" si="15"/>
        <v>0</v>
      </c>
      <c r="AK29" s="32">
        <f t="shared" si="15"/>
        <v>0</v>
      </c>
      <c r="AL29" s="32">
        <f t="shared" si="15"/>
        <v>0</v>
      </c>
      <c r="AM29" s="21">
        <f t="shared" si="15"/>
        <v>0</v>
      </c>
      <c r="AN29" s="32">
        <f t="shared" si="15"/>
        <v>0</v>
      </c>
      <c r="AO29" s="22">
        <f t="shared" si="15"/>
        <v>0</v>
      </c>
    </row>
    <row r="30" spans="5:41" s="5" customFormat="1" ht="15.75" x14ac:dyDescent="0.25">
      <c r="E30" s="13" t="s">
        <v>2</v>
      </c>
      <c r="F30" s="43"/>
      <c r="G30" s="43"/>
      <c r="H30" s="21">
        <f t="shared" ref="H30:H39" si="16">F30-G30</f>
        <v>0</v>
      </c>
      <c r="I30" s="43">
        <f>$F30</f>
        <v>0</v>
      </c>
      <c r="J30" s="43"/>
      <c r="K30" s="23">
        <f t="shared" ref="K30:K39" si="17">I30-J30</f>
        <v>0</v>
      </c>
      <c r="L30" s="43">
        <f>$F30</f>
        <v>0</v>
      </c>
      <c r="M30" s="43"/>
      <c r="N30" s="23">
        <f t="shared" ref="N30:N39" si="18">L30-M30</f>
        <v>0</v>
      </c>
      <c r="O30" s="43">
        <f>$F30</f>
        <v>0</v>
      </c>
      <c r="P30" s="43"/>
      <c r="Q30" s="23">
        <f t="shared" ref="Q30:Q39" si="19">O30-P30</f>
        <v>0</v>
      </c>
      <c r="R30" s="43">
        <f>$F30</f>
        <v>0</v>
      </c>
      <c r="S30" s="43"/>
      <c r="T30" s="23">
        <f t="shared" ref="T30:T39" si="20">R30-S30</f>
        <v>0</v>
      </c>
      <c r="U30" s="43">
        <f>$F30</f>
        <v>0</v>
      </c>
      <c r="V30" s="43"/>
      <c r="W30" s="23">
        <f t="shared" ref="W30:W39" si="21">U30-V30</f>
        <v>0</v>
      </c>
      <c r="X30" s="43">
        <f>$F30</f>
        <v>0</v>
      </c>
      <c r="Y30" s="43"/>
      <c r="Z30" s="23">
        <f t="shared" ref="Z30:Z39" si="22">X30-Y30</f>
        <v>0</v>
      </c>
      <c r="AA30" s="43">
        <f>$F30</f>
        <v>0</v>
      </c>
      <c r="AB30" s="43"/>
      <c r="AC30" s="23">
        <f t="shared" ref="AC30:AC39" si="23">AA30-AB30</f>
        <v>0</v>
      </c>
      <c r="AD30" s="43">
        <f>$F30</f>
        <v>0</v>
      </c>
      <c r="AE30" s="43"/>
      <c r="AF30" s="23">
        <f t="shared" ref="AF30:AF39" si="24">AD30-AE30</f>
        <v>0</v>
      </c>
      <c r="AG30" s="43">
        <f>$F30</f>
        <v>0</v>
      </c>
      <c r="AH30" s="43"/>
      <c r="AI30" s="23">
        <f t="shared" ref="AI30:AI39" si="25">AG30-AH30</f>
        <v>0</v>
      </c>
      <c r="AJ30" s="43">
        <f>$F30</f>
        <v>0</v>
      </c>
      <c r="AK30" s="45"/>
      <c r="AL30" s="30">
        <f t="shared" ref="AL30:AL39" si="26">AJ30-AK30</f>
        <v>0</v>
      </c>
      <c r="AM30" s="43">
        <f>$F30</f>
        <v>0</v>
      </c>
      <c r="AN30" s="45"/>
      <c r="AO30" s="24">
        <f t="shared" ref="AO30:AO39" si="27">AM30-AN30</f>
        <v>0</v>
      </c>
    </row>
    <row r="31" spans="5:41" s="5" customFormat="1" ht="15.75" x14ac:dyDescent="0.25">
      <c r="E31" s="13" t="s">
        <v>3</v>
      </c>
      <c r="F31" s="43"/>
      <c r="G31" s="43"/>
      <c r="H31" s="21">
        <f t="shared" si="16"/>
        <v>0</v>
      </c>
      <c r="I31" s="43">
        <f>$F31</f>
        <v>0</v>
      </c>
      <c r="J31" s="43"/>
      <c r="K31" s="23">
        <f t="shared" si="17"/>
        <v>0</v>
      </c>
      <c r="L31" s="43">
        <f>$F31</f>
        <v>0</v>
      </c>
      <c r="M31" s="43"/>
      <c r="N31" s="23">
        <f t="shared" si="18"/>
        <v>0</v>
      </c>
      <c r="O31" s="43">
        <f>$F31</f>
        <v>0</v>
      </c>
      <c r="P31" s="43"/>
      <c r="Q31" s="23">
        <f t="shared" si="19"/>
        <v>0</v>
      </c>
      <c r="R31" s="43">
        <f>$F31</f>
        <v>0</v>
      </c>
      <c r="S31" s="43"/>
      <c r="T31" s="23">
        <f t="shared" si="20"/>
        <v>0</v>
      </c>
      <c r="U31" s="43">
        <f>$F31</f>
        <v>0</v>
      </c>
      <c r="V31" s="43"/>
      <c r="W31" s="23">
        <f t="shared" si="21"/>
        <v>0</v>
      </c>
      <c r="X31" s="43">
        <f>$F31</f>
        <v>0</v>
      </c>
      <c r="Y31" s="43"/>
      <c r="Z31" s="23">
        <f t="shared" si="22"/>
        <v>0</v>
      </c>
      <c r="AA31" s="43">
        <f>$F31</f>
        <v>0</v>
      </c>
      <c r="AB31" s="43"/>
      <c r="AC31" s="23">
        <f t="shared" si="23"/>
        <v>0</v>
      </c>
      <c r="AD31" s="43">
        <f>$F31</f>
        <v>0</v>
      </c>
      <c r="AE31" s="43"/>
      <c r="AF31" s="23">
        <f t="shared" si="24"/>
        <v>0</v>
      </c>
      <c r="AG31" s="43">
        <f>$F31</f>
        <v>0</v>
      </c>
      <c r="AH31" s="43"/>
      <c r="AI31" s="23">
        <f t="shared" si="25"/>
        <v>0</v>
      </c>
      <c r="AJ31" s="43">
        <f>$F31</f>
        <v>0</v>
      </c>
      <c r="AK31" s="45"/>
      <c r="AL31" s="30">
        <f t="shared" si="26"/>
        <v>0</v>
      </c>
      <c r="AM31" s="43">
        <f>$F31</f>
        <v>0</v>
      </c>
      <c r="AN31" s="45"/>
      <c r="AO31" s="24">
        <f t="shared" si="27"/>
        <v>0</v>
      </c>
    </row>
    <row r="32" spans="5:41" s="5" customFormat="1" ht="15.75" x14ac:dyDescent="0.25">
      <c r="E32" s="13" t="s">
        <v>4</v>
      </c>
      <c r="F32" s="43"/>
      <c r="G32" s="43"/>
      <c r="H32" s="21">
        <f t="shared" si="16"/>
        <v>0</v>
      </c>
      <c r="I32" s="43">
        <f t="shared" ref="I32:I39" si="28">$F32</f>
        <v>0</v>
      </c>
      <c r="J32" s="43"/>
      <c r="K32" s="23">
        <f t="shared" si="17"/>
        <v>0</v>
      </c>
      <c r="L32" s="43">
        <f t="shared" ref="L32:L39" si="29">$F32</f>
        <v>0</v>
      </c>
      <c r="M32" s="43"/>
      <c r="N32" s="23">
        <f t="shared" si="18"/>
        <v>0</v>
      </c>
      <c r="O32" s="43">
        <f t="shared" ref="O32:O39" si="30">$F32</f>
        <v>0</v>
      </c>
      <c r="P32" s="43"/>
      <c r="Q32" s="23">
        <f t="shared" si="19"/>
        <v>0</v>
      </c>
      <c r="R32" s="43">
        <f t="shared" ref="R32:R39" si="31">$F32</f>
        <v>0</v>
      </c>
      <c r="S32" s="43"/>
      <c r="T32" s="23">
        <f t="shared" si="20"/>
        <v>0</v>
      </c>
      <c r="U32" s="43">
        <f t="shared" ref="U32:U39" si="32">$F32</f>
        <v>0</v>
      </c>
      <c r="V32" s="43"/>
      <c r="W32" s="23">
        <f t="shared" si="21"/>
        <v>0</v>
      </c>
      <c r="X32" s="43">
        <f t="shared" ref="X32:X39" si="33">$F32</f>
        <v>0</v>
      </c>
      <c r="Y32" s="43"/>
      <c r="Z32" s="23">
        <f t="shared" si="22"/>
        <v>0</v>
      </c>
      <c r="AA32" s="43">
        <f t="shared" ref="AA32:AA39" si="34">$F32</f>
        <v>0</v>
      </c>
      <c r="AB32" s="43"/>
      <c r="AC32" s="23">
        <f t="shared" si="23"/>
        <v>0</v>
      </c>
      <c r="AD32" s="43">
        <f t="shared" ref="AD32:AD39" si="35">$F32</f>
        <v>0</v>
      </c>
      <c r="AE32" s="43"/>
      <c r="AF32" s="23">
        <f t="shared" si="24"/>
        <v>0</v>
      </c>
      <c r="AG32" s="43">
        <f t="shared" ref="AG32:AG39" si="36">$F32</f>
        <v>0</v>
      </c>
      <c r="AH32" s="43"/>
      <c r="AI32" s="23">
        <f t="shared" si="25"/>
        <v>0</v>
      </c>
      <c r="AJ32" s="43">
        <f t="shared" ref="AJ32:AJ39" si="37">$F32</f>
        <v>0</v>
      </c>
      <c r="AK32" s="45"/>
      <c r="AL32" s="30">
        <f t="shared" si="26"/>
        <v>0</v>
      </c>
      <c r="AM32" s="43">
        <f t="shared" ref="AM32:AM39" si="38">$F32</f>
        <v>0</v>
      </c>
      <c r="AN32" s="45"/>
      <c r="AO32" s="24">
        <f t="shared" si="27"/>
        <v>0</v>
      </c>
    </row>
    <row r="33" spans="5:41" s="5" customFormat="1" ht="15.75" x14ac:dyDescent="0.25">
      <c r="E33" s="13" t="s">
        <v>5</v>
      </c>
      <c r="F33" s="43"/>
      <c r="G33" s="43"/>
      <c r="H33" s="21">
        <f t="shared" si="16"/>
        <v>0</v>
      </c>
      <c r="I33" s="43">
        <f t="shared" si="28"/>
        <v>0</v>
      </c>
      <c r="J33" s="43"/>
      <c r="K33" s="23">
        <f t="shared" si="17"/>
        <v>0</v>
      </c>
      <c r="L33" s="43">
        <f t="shared" si="29"/>
        <v>0</v>
      </c>
      <c r="M33" s="43"/>
      <c r="N33" s="23">
        <f t="shared" si="18"/>
        <v>0</v>
      </c>
      <c r="O33" s="43">
        <f t="shared" si="30"/>
        <v>0</v>
      </c>
      <c r="P33" s="43"/>
      <c r="Q33" s="23">
        <f t="shared" si="19"/>
        <v>0</v>
      </c>
      <c r="R33" s="43">
        <f t="shared" si="31"/>
        <v>0</v>
      </c>
      <c r="S33" s="43"/>
      <c r="T33" s="23">
        <f t="shared" si="20"/>
        <v>0</v>
      </c>
      <c r="U33" s="43">
        <f t="shared" si="32"/>
        <v>0</v>
      </c>
      <c r="V33" s="43"/>
      <c r="W33" s="23">
        <f t="shared" si="21"/>
        <v>0</v>
      </c>
      <c r="X33" s="43">
        <f t="shared" si="33"/>
        <v>0</v>
      </c>
      <c r="Y33" s="43"/>
      <c r="Z33" s="23">
        <f t="shared" si="22"/>
        <v>0</v>
      </c>
      <c r="AA33" s="43">
        <f t="shared" si="34"/>
        <v>0</v>
      </c>
      <c r="AB33" s="43"/>
      <c r="AC33" s="23">
        <f t="shared" si="23"/>
        <v>0</v>
      </c>
      <c r="AD33" s="43">
        <f t="shared" si="35"/>
        <v>0</v>
      </c>
      <c r="AE33" s="43"/>
      <c r="AF33" s="23">
        <f t="shared" si="24"/>
        <v>0</v>
      </c>
      <c r="AG33" s="43">
        <f t="shared" si="36"/>
        <v>0</v>
      </c>
      <c r="AH33" s="43"/>
      <c r="AI33" s="23">
        <f t="shared" si="25"/>
        <v>0</v>
      </c>
      <c r="AJ33" s="43">
        <f t="shared" si="37"/>
        <v>0</v>
      </c>
      <c r="AK33" s="45"/>
      <c r="AL33" s="30">
        <f t="shared" si="26"/>
        <v>0</v>
      </c>
      <c r="AM33" s="43">
        <f t="shared" si="38"/>
        <v>0</v>
      </c>
      <c r="AN33" s="45"/>
      <c r="AO33" s="24">
        <f t="shared" si="27"/>
        <v>0</v>
      </c>
    </row>
    <row r="34" spans="5:41" s="5" customFormat="1" ht="15.75" x14ac:dyDescent="0.25">
      <c r="E34" s="13" t="s">
        <v>6</v>
      </c>
      <c r="F34" s="43"/>
      <c r="G34" s="43"/>
      <c r="H34" s="21">
        <f t="shared" si="16"/>
        <v>0</v>
      </c>
      <c r="I34" s="43">
        <f t="shared" si="28"/>
        <v>0</v>
      </c>
      <c r="J34" s="43"/>
      <c r="K34" s="23">
        <f t="shared" si="17"/>
        <v>0</v>
      </c>
      <c r="L34" s="43">
        <f t="shared" si="29"/>
        <v>0</v>
      </c>
      <c r="M34" s="43"/>
      <c r="N34" s="23">
        <f t="shared" si="18"/>
        <v>0</v>
      </c>
      <c r="O34" s="43">
        <f t="shared" si="30"/>
        <v>0</v>
      </c>
      <c r="P34" s="43"/>
      <c r="Q34" s="23">
        <f t="shared" si="19"/>
        <v>0</v>
      </c>
      <c r="R34" s="43">
        <f t="shared" si="31"/>
        <v>0</v>
      </c>
      <c r="S34" s="43"/>
      <c r="T34" s="23">
        <f t="shared" si="20"/>
        <v>0</v>
      </c>
      <c r="U34" s="43">
        <f t="shared" si="32"/>
        <v>0</v>
      </c>
      <c r="V34" s="43"/>
      <c r="W34" s="23">
        <f t="shared" si="21"/>
        <v>0</v>
      </c>
      <c r="X34" s="43">
        <f t="shared" si="33"/>
        <v>0</v>
      </c>
      <c r="Y34" s="43"/>
      <c r="Z34" s="23">
        <f t="shared" si="22"/>
        <v>0</v>
      </c>
      <c r="AA34" s="43">
        <f t="shared" si="34"/>
        <v>0</v>
      </c>
      <c r="AB34" s="43"/>
      <c r="AC34" s="23">
        <f t="shared" si="23"/>
        <v>0</v>
      </c>
      <c r="AD34" s="43">
        <f t="shared" si="35"/>
        <v>0</v>
      </c>
      <c r="AE34" s="43"/>
      <c r="AF34" s="23">
        <f t="shared" si="24"/>
        <v>0</v>
      </c>
      <c r="AG34" s="43">
        <f t="shared" si="36"/>
        <v>0</v>
      </c>
      <c r="AH34" s="43"/>
      <c r="AI34" s="23">
        <f t="shared" si="25"/>
        <v>0</v>
      </c>
      <c r="AJ34" s="43">
        <f t="shared" si="37"/>
        <v>0</v>
      </c>
      <c r="AK34" s="45"/>
      <c r="AL34" s="30">
        <f t="shared" si="26"/>
        <v>0</v>
      </c>
      <c r="AM34" s="43">
        <f t="shared" si="38"/>
        <v>0</v>
      </c>
      <c r="AN34" s="45"/>
      <c r="AO34" s="24">
        <f t="shared" si="27"/>
        <v>0</v>
      </c>
    </row>
    <row r="35" spans="5:41" s="5" customFormat="1" ht="15.75" x14ac:dyDescent="0.25">
      <c r="E35" s="13" t="s">
        <v>7</v>
      </c>
      <c r="F35" s="43"/>
      <c r="G35" s="43"/>
      <c r="H35" s="21">
        <f t="shared" si="16"/>
        <v>0</v>
      </c>
      <c r="I35" s="43">
        <f t="shared" si="28"/>
        <v>0</v>
      </c>
      <c r="J35" s="43"/>
      <c r="K35" s="23">
        <f t="shared" si="17"/>
        <v>0</v>
      </c>
      <c r="L35" s="43">
        <f t="shared" si="29"/>
        <v>0</v>
      </c>
      <c r="M35" s="43"/>
      <c r="N35" s="23">
        <f t="shared" si="18"/>
        <v>0</v>
      </c>
      <c r="O35" s="43">
        <f t="shared" si="30"/>
        <v>0</v>
      </c>
      <c r="P35" s="43"/>
      <c r="Q35" s="23">
        <f t="shared" si="19"/>
        <v>0</v>
      </c>
      <c r="R35" s="43">
        <f t="shared" si="31"/>
        <v>0</v>
      </c>
      <c r="S35" s="43"/>
      <c r="T35" s="23">
        <f t="shared" si="20"/>
        <v>0</v>
      </c>
      <c r="U35" s="43">
        <f t="shared" si="32"/>
        <v>0</v>
      </c>
      <c r="V35" s="43"/>
      <c r="W35" s="23">
        <f t="shared" si="21"/>
        <v>0</v>
      </c>
      <c r="X35" s="43">
        <f t="shared" si="33"/>
        <v>0</v>
      </c>
      <c r="Y35" s="43"/>
      <c r="Z35" s="23">
        <f t="shared" si="22"/>
        <v>0</v>
      </c>
      <c r="AA35" s="43">
        <f t="shared" si="34"/>
        <v>0</v>
      </c>
      <c r="AB35" s="43"/>
      <c r="AC35" s="23">
        <f t="shared" si="23"/>
        <v>0</v>
      </c>
      <c r="AD35" s="43">
        <f t="shared" si="35"/>
        <v>0</v>
      </c>
      <c r="AE35" s="43"/>
      <c r="AF35" s="23">
        <f t="shared" si="24"/>
        <v>0</v>
      </c>
      <c r="AG35" s="43">
        <f t="shared" si="36"/>
        <v>0</v>
      </c>
      <c r="AH35" s="43"/>
      <c r="AI35" s="23">
        <f t="shared" si="25"/>
        <v>0</v>
      </c>
      <c r="AJ35" s="43">
        <f t="shared" si="37"/>
        <v>0</v>
      </c>
      <c r="AK35" s="45"/>
      <c r="AL35" s="30">
        <f t="shared" si="26"/>
        <v>0</v>
      </c>
      <c r="AM35" s="43">
        <f t="shared" si="38"/>
        <v>0</v>
      </c>
      <c r="AN35" s="45"/>
      <c r="AO35" s="24">
        <f t="shared" si="27"/>
        <v>0</v>
      </c>
    </row>
    <row r="36" spans="5:41" s="5" customFormat="1" ht="15.75" x14ac:dyDescent="0.25">
      <c r="E36" s="13" t="s">
        <v>52</v>
      </c>
      <c r="F36" s="43"/>
      <c r="G36" s="43"/>
      <c r="H36" s="21">
        <f t="shared" si="16"/>
        <v>0</v>
      </c>
      <c r="I36" s="43">
        <f t="shared" si="28"/>
        <v>0</v>
      </c>
      <c r="J36" s="43"/>
      <c r="K36" s="23">
        <f t="shared" si="17"/>
        <v>0</v>
      </c>
      <c r="L36" s="43">
        <f t="shared" si="29"/>
        <v>0</v>
      </c>
      <c r="M36" s="43"/>
      <c r="N36" s="23">
        <f t="shared" si="18"/>
        <v>0</v>
      </c>
      <c r="O36" s="43">
        <f t="shared" si="30"/>
        <v>0</v>
      </c>
      <c r="P36" s="43"/>
      <c r="Q36" s="23">
        <f t="shared" si="19"/>
        <v>0</v>
      </c>
      <c r="R36" s="43">
        <f t="shared" si="31"/>
        <v>0</v>
      </c>
      <c r="S36" s="43"/>
      <c r="T36" s="23">
        <f t="shared" si="20"/>
        <v>0</v>
      </c>
      <c r="U36" s="43">
        <f t="shared" si="32"/>
        <v>0</v>
      </c>
      <c r="V36" s="43"/>
      <c r="W36" s="23">
        <f t="shared" si="21"/>
        <v>0</v>
      </c>
      <c r="X36" s="43">
        <f t="shared" si="33"/>
        <v>0</v>
      </c>
      <c r="Y36" s="43"/>
      <c r="Z36" s="23">
        <f t="shared" si="22"/>
        <v>0</v>
      </c>
      <c r="AA36" s="43">
        <f t="shared" si="34"/>
        <v>0</v>
      </c>
      <c r="AB36" s="43"/>
      <c r="AC36" s="23">
        <f t="shared" si="23"/>
        <v>0</v>
      </c>
      <c r="AD36" s="43">
        <f t="shared" si="35"/>
        <v>0</v>
      </c>
      <c r="AE36" s="43"/>
      <c r="AF36" s="23">
        <f t="shared" si="24"/>
        <v>0</v>
      </c>
      <c r="AG36" s="43">
        <f t="shared" si="36"/>
        <v>0</v>
      </c>
      <c r="AH36" s="43"/>
      <c r="AI36" s="23">
        <f t="shared" si="25"/>
        <v>0</v>
      </c>
      <c r="AJ36" s="43">
        <f t="shared" si="37"/>
        <v>0</v>
      </c>
      <c r="AK36" s="45"/>
      <c r="AL36" s="30">
        <f t="shared" si="26"/>
        <v>0</v>
      </c>
      <c r="AM36" s="43">
        <f t="shared" si="38"/>
        <v>0</v>
      </c>
      <c r="AN36" s="45"/>
      <c r="AO36" s="24">
        <f t="shared" si="27"/>
        <v>0</v>
      </c>
    </row>
    <row r="37" spans="5:41" s="5" customFormat="1" ht="15.75" hidden="1" outlineLevel="1" x14ac:dyDescent="0.25">
      <c r="E37" s="13"/>
      <c r="F37" s="43"/>
      <c r="G37" s="43"/>
      <c r="H37" s="21">
        <f t="shared" si="16"/>
        <v>0</v>
      </c>
      <c r="I37" s="43">
        <f t="shared" si="28"/>
        <v>0</v>
      </c>
      <c r="J37" s="43"/>
      <c r="K37" s="23">
        <f t="shared" si="17"/>
        <v>0</v>
      </c>
      <c r="L37" s="43">
        <f t="shared" si="29"/>
        <v>0</v>
      </c>
      <c r="M37" s="43"/>
      <c r="N37" s="23">
        <f t="shared" si="18"/>
        <v>0</v>
      </c>
      <c r="O37" s="43">
        <f t="shared" si="30"/>
        <v>0</v>
      </c>
      <c r="P37" s="43"/>
      <c r="Q37" s="23">
        <f t="shared" si="19"/>
        <v>0</v>
      </c>
      <c r="R37" s="43">
        <f t="shared" si="31"/>
        <v>0</v>
      </c>
      <c r="S37" s="43"/>
      <c r="T37" s="23">
        <f t="shared" si="20"/>
        <v>0</v>
      </c>
      <c r="U37" s="43">
        <f t="shared" si="32"/>
        <v>0</v>
      </c>
      <c r="V37" s="43"/>
      <c r="W37" s="23">
        <f t="shared" si="21"/>
        <v>0</v>
      </c>
      <c r="X37" s="43">
        <f t="shared" si="33"/>
        <v>0</v>
      </c>
      <c r="Y37" s="43"/>
      <c r="Z37" s="23">
        <f t="shared" si="22"/>
        <v>0</v>
      </c>
      <c r="AA37" s="43">
        <f t="shared" si="34"/>
        <v>0</v>
      </c>
      <c r="AB37" s="43"/>
      <c r="AC37" s="23">
        <f t="shared" si="23"/>
        <v>0</v>
      </c>
      <c r="AD37" s="43">
        <f t="shared" si="35"/>
        <v>0</v>
      </c>
      <c r="AE37" s="43"/>
      <c r="AF37" s="23">
        <f t="shared" si="24"/>
        <v>0</v>
      </c>
      <c r="AG37" s="43">
        <f t="shared" si="36"/>
        <v>0</v>
      </c>
      <c r="AH37" s="43"/>
      <c r="AI37" s="23">
        <f t="shared" si="25"/>
        <v>0</v>
      </c>
      <c r="AJ37" s="43">
        <f t="shared" si="37"/>
        <v>0</v>
      </c>
      <c r="AK37" s="45"/>
      <c r="AL37" s="30">
        <f t="shared" si="26"/>
        <v>0</v>
      </c>
      <c r="AM37" s="43">
        <f t="shared" si="38"/>
        <v>0</v>
      </c>
      <c r="AN37" s="45"/>
      <c r="AO37" s="24">
        <f t="shared" si="27"/>
        <v>0</v>
      </c>
    </row>
    <row r="38" spans="5:41" s="5" customFormat="1" ht="15.75" hidden="1" outlineLevel="1" x14ac:dyDescent="0.25">
      <c r="E38" s="13"/>
      <c r="F38" s="43"/>
      <c r="G38" s="43"/>
      <c r="H38" s="21">
        <f t="shared" si="16"/>
        <v>0</v>
      </c>
      <c r="I38" s="43">
        <f t="shared" si="28"/>
        <v>0</v>
      </c>
      <c r="J38" s="43"/>
      <c r="K38" s="23">
        <f t="shared" si="17"/>
        <v>0</v>
      </c>
      <c r="L38" s="43">
        <f t="shared" si="29"/>
        <v>0</v>
      </c>
      <c r="M38" s="43"/>
      <c r="N38" s="23">
        <f t="shared" si="18"/>
        <v>0</v>
      </c>
      <c r="O38" s="43">
        <f t="shared" si="30"/>
        <v>0</v>
      </c>
      <c r="P38" s="43"/>
      <c r="Q38" s="23">
        <f t="shared" si="19"/>
        <v>0</v>
      </c>
      <c r="R38" s="43">
        <f t="shared" si="31"/>
        <v>0</v>
      </c>
      <c r="S38" s="43"/>
      <c r="T38" s="23">
        <f t="shared" si="20"/>
        <v>0</v>
      </c>
      <c r="U38" s="43">
        <f t="shared" si="32"/>
        <v>0</v>
      </c>
      <c r="V38" s="43"/>
      <c r="W38" s="23">
        <f t="shared" si="21"/>
        <v>0</v>
      </c>
      <c r="X38" s="43">
        <f t="shared" si="33"/>
        <v>0</v>
      </c>
      <c r="Y38" s="43"/>
      <c r="Z38" s="23">
        <f t="shared" si="22"/>
        <v>0</v>
      </c>
      <c r="AA38" s="43">
        <f t="shared" si="34"/>
        <v>0</v>
      </c>
      <c r="AB38" s="43"/>
      <c r="AC38" s="23">
        <f t="shared" si="23"/>
        <v>0</v>
      </c>
      <c r="AD38" s="43">
        <f t="shared" si="35"/>
        <v>0</v>
      </c>
      <c r="AE38" s="43"/>
      <c r="AF38" s="23">
        <f t="shared" si="24"/>
        <v>0</v>
      </c>
      <c r="AG38" s="43">
        <f t="shared" si="36"/>
        <v>0</v>
      </c>
      <c r="AH38" s="43"/>
      <c r="AI38" s="23">
        <f t="shared" si="25"/>
        <v>0</v>
      </c>
      <c r="AJ38" s="43">
        <f t="shared" si="37"/>
        <v>0</v>
      </c>
      <c r="AK38" s="45"/>
      <c r="AL38" s="30">
        <f t="shared" si="26"/>
        <v>0</v>
      </c>
      <c r="AM38" s="43">
        <f t="shared" si="38"/>
        <v>0</v>
      </c>
      <c r="AN38" s="45"/>
      <c r="AO38" s="24">
        <f t="shared" si="27"/>
        <v>0</v>
      </c>
    </row>
    <row r="39" spans="5:41" s="5" customFormat="1" ht="15.75" hidden="1" outlineLevel="1" x14ac:dyDescent="0.25">
      <c r="E39" s="13"/>
      <c r="F39" s="43"/>
      <c r="G39" s="43"/>
      <c r="H39" s="21">
        <f t="shared" si="16"/>
        <v>0</v>
      </c>
      <c r="I39" s="43">
        <f t="shared" si="28"/>
        <v>0</v>
      </c>
      <c r="J39" s="43"/>
      <c r="K39" s="23">
        <f t="shared" si="17"/>
        <v>0</v>
      </c>
      <c r="L39" s="43">
        <f t="shared" si="29"/>
        <v>0</v>
      </c>
      <c r="M39" s="43"/>
      <c r="N39" s="23">
        <f t="shared" si="18"/>
        <v>0</v>
      </c>
      <c r="O39" s="43">
        <f t="shared" si="30"/>
        <v>0</v>
      </c>
      <c r="P39" s="43"/>
      <c r="Q39" s="23">
        <f t="shared" si="19"/>
        <v>0</v>
      </c>
      <c r="R39" s="43">
        <f t="shared" si="31"/>
        <v>0</v>
      </c>
      <c r="S39" s="43"/>
      <c r="T39" s="23">
        <f t="shared" si="20"/>
        <v>0</v>
      </c>
      <c r="U39" s="43">
        <f t="shared" si="32"/>
        <v>0</v>
      </c>
      <c r="V39" s="43"/>
      <c r="W39" s="23">
        <f t="shared" si="21"/>
        <v>0</v>
      </c>
      <c r="X39" s="43">
        <f t="shared" si="33"/>
        <v>0</v>
      </c>
      <c r="Y39" s="43"/>
      <c r="Z39" s="23">
        <f t="shared" si="22"/>
        <v>0</v>
      </c>
      <c r="AA39" s="43">
        <f t="shared" si="34"/>
        <v>0</v>
      </c>
      <c r="AB39" s="43"/>
      <c r="AC39" s="23">
        <f t="shared" si="23"/>
        <v>0</v>
      </c>
      <c r="AD39" s="43">
        <f t="shared" si="35"/>
        <v>0</v>
      </c>
      <c r="AE39" s="43"/>
      <c r="AF39" s="23">
        <f t="shared" si="24"/>
        <v>0</v>
      </c>
      <c r="AG39" s="43">
        <f t="shared" si="36"/>
        <v>0</v>
      </c>
      <c r="AH39" s="43"/>
      <c r="AI39" s="23">
        <f t="shared" si="25"/>
        <v>0</v>
      </c>
      <c r="AJ39" s="43">
        <f t="shared" si="37"/>
        <v>0</v>
      </c>
      <c r="AK39" s="45"/>
      <c r="AL39" s="30">
        <f t="shared" si="26"/>
        <v>0</v>
      </c>
      <c r="AM39" s="43">
        <f t="shared" si="38"/>
        <v>0</v>
      </c>
      <c r="AN39" s="45"/>
      <c r="AO39" s="24">
        <f t="shared" si="27"/>
        <v>0</v>
      </c>
    </row>
    <row r="40" spans="5:41" s="5" customFormat="1" ht="15.75" collapsed="1" x14ac:dyDescent="0.25">
      <c r="E40" s="14" t="s">
        <v>8</v>
      </c>
      <c r="F40" s="23">
        <f>SUM(F41:F50)</f>
        <v>0</v>
      </c>
      <c r="G40" s="23">
        <f t="shared" ref="G40:AO40" si="39">SUM(G41:G50)</f>
        <v>0</v>
      </c>
      <c r="H40" s="23">
        <f t="shared" si="39"/>
        <v>0</v>
      </c>
      <c r="I40" s="23">
        <f t="shared" si="39"/>
        <v>0</v>
      </c>
      <c r="J40" s="23">
        <f t="shared" si="39"/>
        <v>0</v>
      </c>
      <c r="K40" s="23">
        <f t="shared" si="39"/>
        <v>0</v>
      </c>
      <c r="L40" s="23">
        <f t="shared" si="39"/>
        <v>0</v>
      </c>
      <c r="M40" s="23">
        <f t="shared" si="39"/>
        <v>0</v>
      </c>
      <c r="N40" s="23">
        <f t="shared" si="39"/>
        <v>0</v>
      </c>
      <c r="O40" s="23">
        <f t="shared" si="39"/>
        <v>0</v>
      </c>
      <c r="P40" s="23">
        <f t="shared" si="39"/>
        <v>0</v>
      </c>
      <c r="Q40" s="23">
        <f t="shared" si="39"/>
        <v>0</v>
      </c>
      <c r="R40" s="23">
        <f t="shared" si="39"/>
        <v>0</v>
      </c>
      <c r="S40" s="23">
        <f t="shared" si="39"/>
        <v>0</v>
      </c>
      <c r="T40" s="23">
        <f t="shared" si="39"/>
        <v>0</v>
      </c>
      <c r="U40" s="23">
        <f t="shared" si="39"/>
        <v>0</v>
      </c>
      <c r="V40" s="23">
        <f t="shared" si="39"/>
        <v>0</v>
      </c>
      <c r="W40" s="23">
        <f t="shared" si="39"/>
        <v>0</v>
      </c>
      <c r="X40" s="23">
        <f t="shared" si="39"/>
        <v>0</v>
      </c>
      <c r="Y40" s="23">
        <f t="shared" si="39"/>
        <v>0</v>
      </c>
      <c r="Z40" s="23">
        <f t="shared" si="39"/>
        <v>0</v>
      </c>
      <c r="AA40" s="23">
        <f t="shared" si="39"/>
        <v>0</v>
      </c>
      <c r="AB40" s="23">
        <f t="shared" si="39"/>
        <v>0</v>
      </c>
      <c r="AC40" s="23">
        <f t="shared" si="39"/>
        <v>0</v>
      </c>
      <c r="AD40" s="23">
        <f t="shared" si="39"/>
        <v>0</v>
      </c>
      <c r="AE40" s="23">
        <f t="shared" si="39"/>
        <v>0</v>
      </c>
      <c r="AF40" s="23">
        <f t="shared" si="39"/>
        <v>0</v>
      </c>
      <c r="AG40" s="23">
        <f t="shared" si="39"/>
        <v>0</v>
      </c>
      <c r="AH40" s="23">
        <f t="shared" si="39"/>
        <v>0</v>
      </c>
      <c r="AI40" s="23">
        <f t="shared" si="39"/>
        <v>0</v>
      </c>
      <c r="AJ40" s="23">
        <f t="shared" si="39"/>
        <v>0</v>
      </c>
      <c r="AK40" s="30">
        <f t="shared" si="39"/>
        <v>0</v>
      </c>
      <c r="AL40" s="30">
        <f t="shared" si="39"/>
        <v>0</v>
      </c>
      <c r="AM40" s="23">
        <f t="shared" si="39"/>
        <v>0</v>
      </c>
      <c r="AN40" s="30">
        <f t="shared" si="39"/>
        <v>0</v>
      </c>
      <c r="AO40" s="24">
        <f t="shared" si="39"/>
        <v>0</v>
      </c>
    </row>
    <row r="41" spans="5:41" s="5" customFormat="1" ht="15.75" x14ac:dyDescent="0.25">
      <c r="E41" s="13" t="s">
        <v>9</v>
      </c>
      <c r="F41" s="43"/>
      <c r="G41" s="43"/>
      <c r="H41" s="23">
        <f t="shared" ref="H41:H50" si="40">F41-G41</f>
        <v>0</v>
      </c>
      <c r="I41" s="43">
        <f>$F41</f>
        <v>0</v>
      </c>
      <c r="J41" s="43"/>
      <c r="K41" s="23">
        <f t="shared" ref="K41:K50" si="41">I41-J41</f>
        <v>0</v>
      </c>
      <c r="L41" s="43">
        <f>$F41</f>
        <v>0</v>
      </c>
      <c r="M41" s="43"/>
      <c r="N41" s="23">
        <f t="shared" ref="N41:N50" si="42">L41-M41</f>
        <v>0</v>
      </c>
      <c r="O41" s="43">
        <f>$F41</f>
        <v>0</v>
      </c>
      <c r="P41" s="43"/>
      <c r="Q41" s="23">
        <f t="shared" ref="Q41:Q50" si="43">O41-P41</f>
        <v>0</v>
      </c>
      <c r="R41" s="43">
        <f>$F41</f>
        <v>0</v>
      </c>
      <c r="S41" s="43"/>
      <c r="T41" s="23">
        <f t="shared" ref="T41:T50" si="44">R41-S41</f>
        <v>0</v>
      </c>
      <c r="U41" s="43">
        <f>$F41</f>
        <v>0</v>
      </c>
      <c r="V41" s="43"/>
      <c r="W41" s="23">
        <f t="shared" ref="W41:W50" si="45">U41-V41</f>
        <v>0</v>
      </c>
      <c r="X41" s="43">
        <f>$F41</f>
        <v>0</v>
      </c>
      <c r="Y41" s="43"/>
      <c r="Z41" s="23">
        <f t="shared" ref="Z41:Z50" si="46">X41-Y41</f>
        <v>0</v>
      </c>
      <c r="AA41" s="43">
        <f>$F41</f>
        <v>0</v>
      </c>
      <c r="AB41" s="43"/>
      <c r="AC41" s="23">
        <f t="shared" ref="AC41:AC50" si="47">AA41-AB41</f>
        <v>0</v>
      </c>
      <c r="AD41" s="43"/>
      <c r="AE41" s="43"/>
      <c r="AF41" s="23">
        <f t="shared" ref="AF41:AF50" si="48">AD41-AE41</f>
        <v>0</v>
      </c>
      <c r="AG41" s="43"/>
      <c r="AH41" s="43"/>
      <c r="AI41" s="23">
        <f t="shared" ref="AI41:AI50" si="49">AG41-AH41</f>
        <v>0</v>
      </c>
      <c r="AJ41" s="43">
        <f>$F41</f>
        <v>0</v>
      </c>
      <c r="AK41" s="45"/>
      <c r="AL41" s="30">
        <f t="shared" ref="AL41:AL50" si="50">AJ41-AK41</f>
        <v>0</v>
      </c>
      <c r="AM41" s="43">
        <f>$F41</f>
        <v>0</v>
      </c>
      <c r="AN41" s="45"/>
      <c r="AO41" s="24">
        <f t="shared" ref="AO41:AO50" si="51">AM41-AN41</f>
        <v>0</v>
      </c>
    </row>
    <row r="42" spans="5:41" s="5" customFormat="1" ht="15.75" x14ac:dyDescent="0.25">
      <c r="E42" s="13" t="s">
        <v>10</v>
      </c>
      <c r="F42" s="43"/>
      <c r="G42" s="43"/>
      <c r="H42" s="23">
        <f t="shared" si="40"/>
        <v>0</v>
      </c>
      <c r="I42" s="43">
        <f t="shared" ref="I42:I50" si="52">$F42</f>
        <v>0</v>
      </c>
      <c r="J42" s="43"/>
      <c r="K42" s="23">
        <f t="shared" si="41"/>
        <v>0</v>
      </c>
      <c r="L42" s="43">
        <f t="shared" ref="L42:L50" si="53">$F42</f>
        <v>0</v>
      </c>
      <c r="M42" s="43"/>
      <c r="N42" s="23">
        <f t="shared" si="42"/>
        <v>0</v>
      </c>
      <c r="O42" s="43">
        <f t="shared" ref="O42:O50" si="54">$F42</f>
        <v>0</v>
      </c>
      <c r="P42" s="43"/>
      <c r="Q42" s="23">
        <f t="shared" si="43"/>
        <v>0</v>
      </c>
      <c r="R42" s="43">
        <f t="shared" ref="R42:R50" si="55">$F42</f>
        <v>0</v>
      </c>
      <c r="S42" s="43"/>
      <c r="T42" s="23">
        <f t="shared" si="44"/>
        <v>0</v>
      </c>
      <c r="U42" s="43">
        <f t="shared" ref="U42:U50" si="56">$F42</f>
        <v>0</v>
      </c>
      <c r="V42" s="43"/>
      <c r="W42" s="23">
        <f t="shared" si="45"/>
        <v>0</v>
      </c>
      <c r="X42" s="43">
        <f t="shared" ref="X42:X50" si="57">$F42</f>
        <v>0</v>
      </c>
      <c r="Y42" s="43"/>
      <c r="Z42" s="23">
        <f t="shared" si="46"/>
        <v>0</v>
      </c>
      <c r="AA42" s="43">
        <f t="shared" ref="AA42:AA50" si="58">$F42</f>
        <v>0</v>
      </c>
      <c r="AB42" s="43"/>
      <c r="AC42" s="23">
        <f t="shared" si="47"/>
        <v>0</v>
      </c>
      <c r="AD42" s="43"/>
      <c r="AE42" s="43"/>
      <c r="AF42" s="23">
        <f t="shared" si="48"/>
        <v>0</v>
      </c>
      <c r="AG42" s="43"/>
      <c r="AH42" s="43"/>
      <c r="AI42" s="23">
        <f t="shared" si="49"/>
        <v>0</v>
      </c>
      <c r="AJ42" s="43">
        <f t="shared" ref="AJ42:AJ50" si="59">$F42</f>
        <v>0</v>
      </c>
      <c r="AK42" s="45"/>
      <c r="AL42" s="30">
        <f t="shared" si="50"/>
        <v>0</v>
      </c>
      <c r="AM42" s="43">
        <f t="shared" ref="AM42:AM50" si="60">$F42</f>
        <v>0</v>
      </c>
      <c r="AN42" s="45"/>
      <c r="AO42" s="24">
        <f t="shared" si="51"/>
        <v>0</v>
      </c>
    </row>
    <row r="43" spans="5:41" s="5" customFormat="1" ht="15.75" x14ac:dyDescent="0.25">
      <c r="E43" s="13" t="s">
        <v>11</v>
      </c>
      <c r="F43" s="43"/>
      <c r="G43" s="43"/>
      <c r="H43" s="23">
        <f t="shared" si="40"/>
        <v>0</v>
      </c>
      <c r="I43" s="43">
        <f t="shared" si="52"/>
        <v>0</v>
      </c>
      <c r="J43" s="43"/>
      <c r="K43" s="23">
        <f t="shared" si="41"/>
        <v>0</v>
      </c>
      <c r="L43" s="43">
        <f t="shared" si="53"/>
        <v>0</v>
      </c>
      <c r="M43" s="43"/>
      <c r="N43" s="23">
        <f t="shared" si="42"/>
        <v>0</v>
      </c>
      <c r="O43" s="43">
        <f t="shared" si="54"/>
        <v>0</v>
      </c>
      <c r="P43" s="43"/>
      <c r="Q43" s="23">
        <f t="shared" si="43"/>
        <v>0</v>
      </c>
      <c r="R43" s="43">
        <f t="shared" si="55"/>
        <v>0</v>
      </c>
      <c r="S43" s="43"/>
      <c r="T43" s="23">
        <f t="shared" si="44"/>
        <v>0</v>
      </c>
      <c r="U43" s="43">
        <f t="shared" si="56"/>
        <v>0</v>
      </c>
      <c r="V43" s="43"/>
      <c r="W43" s="23">
        <f t="shared" si="45"/>
        <v>0</v>
      </c>
      <c r="X43" s="43">
        <f t="shared" si="57"/>
        <v>0</v>
      </c>
      <c r="Y43" s="43"/>
      <c r="Z43" s="23">
        <f t="shared" si="46"/>
        <v>0</v>
      </c>
      <c r="AA43" s="43">
        <f t="shared" si="58"/>
        <v>0</v>
      </c>
      <c r="AB43" s="43"/>
      <c r="AC43" s="23">
        <f t="shared" si="47"/>
        <v>0</v>
      </c>
      <c r="AD43" s="43"/>
      <c r="AE43" s="43"/>
      <c r="AF43" s="23">
        <f t="shared" si="48"/>
        <v>0</v>
      </c>
      <c r="AG43" s="43"/>
      <c r="AH43" s="43"/>
      <c r="AI43" s="23">
        <f t="shared" si="49"/>
        <v>0</v>
      </c>
      <c r="AJ43" s="43">
        <f t="shared" si="59"/>
        <v>0</v>
      </c>
      <c r="AK43" s="45"/>
      <c r="AL43" s="30">
        <f t="shared" si="50"/>
        <v>0</v>
      </c>
      <c r="AM43" s="43">
        <f t="shared" si="60"/>
        <v>0</v>
      </c>
      <c r="AN43" s="45"/>
      <c r="AO43" s="24">
        <f t="shared" si="51"/>
        <v>0</v>
      </c>
    </row>
    <row r="44" spans="5:41" s="5" customFormat="1" ht="15.75" x14ac:dyDescent="0.25">
      <c r="E44" s="13" t="s">
        <v>12</v>
      </c>
      <c r="F44" s="43"/>
      <c r="G44" s="43"/>
      <c r="H44" s="23">
        <f t="shared" si="40"/>
        <v>0</v>
      </c>
      <c r="I44" s="43">
        <f t="shared" si="52"/>
        <v>0</v>
      </c>
      <c r="J44" s="43"/>
      <c r="K44" s="23">
        <f t="shared" si="41"/>
        <v>0</v>
      </c>
      <c r="L44" s="43">
        <f t="shared" si="53"/>
        <v>0</v>
      </c>
      <c r="M44" s="43"/>
      <c r="N44" s="23">
        <f t="shared" si="42"/>
        <v>0</v>
      </c>
      <c r="O44" s="43">
        <f t="shared" si="54"/>
        <v>0</v>
      </c>
      <c r="P44" s="43"/>
      <c r="Q44" s="23">
        <f t="shared" si="43"/>
        <v>0</v>
      </c>
      <c r="R44" s="43">
        <f t="shared" si="55"/>
        <v>0</v>
      </c>
      <c r="S44" s="43"/>
      <c r="T44" s="23">
        <f t="shared" si="44"/>
        <v>0</v>
      </c>
      <c r="U44" s="43">
        <f t="shared" si="56"/>
        <v>0</v>
      </c>
      <c r="V44" s="43"/>
      <c r="W44" s="23">
        <f t="shared" si="45"/>
        <v>0</v>
      </c>
      <c r="X44" s="43">
        <f t="shared" si="57"/>
        <v>0</v>
      </c>
      <c r="Y44" s="43"/>
      <c r="Z44" s="23">
        <f t="shared" si="46"/>
        <v>0</v>
      </c>
      <c r="AA44" s="43">
        <f t="shared" si="58"/>
        <v>0</v>
      </c>
      <c r="AB44" s="43"/>
      <c r="AC44" s="23">
        <f t="shared" si="47"/>
        <v>0</v>
      </c>
      <c r="AD44" s="43"/>
      <c r="AE44" s="43"/>
      <c r="AF44" s="23">
        <f t="shared" si="48"/>
        <v>0</v>
      </c>
      <c r="AG44" s="43"/>
      <c r="AH44" s="43"/>
      <c r="AI44" s="23">
        <f t="shared" si="49"/>
        <v>0</v>
      </c>
      <c r="AJ44" s="43">
        <f t="shared" si="59"/>
        <v>0</v>
      </c>
      <c r="AK44" s="45"/>
      <c r="AL44" s="30">
        <f t="shared" si="50"/>
        <v>0</v>
      </c>
      <c r="AM44" s="43">
        <f t="shared" si="60"/>
        <v>0</v>
      </c>
      <c r="AN44" s="45"/>
      <c r="AO44" s="24">
        <f t="shared" si="51"/>
        <v>0</v>
      </c>
    </row>
    <row r="45" spans="5:41" s="5" customFormat="1" ht="15.75" x14ac:dyDescent="0.25">
      <c r="E45" s="13" t="s">
        <v>13</v>
      </c>
      <c r="F45" s="43"/>
      <c r="G45" s="43"/>
      <c r="H45" s="23">
        <f t="shared" si="40"/>
        <v>0</v>
      </c>
      <c r="I45" s="43">
        <f t="shared" si="52"/>
        <v>0</v>
      </c>
      <c r="J45" s="43"/>
      <c r="K45" s="23">
        <f t="shared" si="41"/>
        <v>0</v>
      </c>
      <c r="L45" s="43">
        <f t="shared" si="53"/>
        <v>0</v>
      </c>
      <c r="M45" s="43"/>
      <c r="N45" s="23">
        <f t="shared" si="42"/>
        <v>0</v>
      </c>
      <c r="O45" s="43">
        <f t="shared" si="54"/>
        <v>0</v>
      </c>
      <c r="P45" s="43"/>
      <c r="Q45" s="23">
        <f t="shared" si="43"/>
        <v>0</v>
      </c>
      <c r="R45" s="43">
        <f t="shared" si="55"/>
        <v>0</v>
      </c>
      <c r="S45" s="43"/>
      <c r="T45" s="23">
        <f t="shared" si="44"/>
        <v>0</v>
      </c>
      <c r="U45" s="43">
        <f t="shared" si="56"/>
        <v>0</v>
      </c>
      <c r="V45" s="43"/>
      <c r="W45" s="23">
        <f t="shared" si="45"/>
        <v>0</v>
      </c>
      <c r="X45" s="43">
        <f t="shared" si="57"/>
        <v>0</v>
      </c>
      <c r="Y45" s="43"/>
      <c r="Z45" s="23">
        <f t="shared" si="46"/>
        <v>0</v>
      </c>
      <c r="AA45" s="43">
        <f t="shared" si="58"/>
        <v>0</v>
      </c>
      <c r="AB45" s="43"/>
      <c r="AC45" s="23">
        <f t="shared" si="47"/>
        <v>0</v>
      </c>
      <c r="AD45" s="43"/>
      <c r="AE45" s="43"/>
      <c r="AF45" s="23">
        <f t="shared" si="48"/>
        <v>0</v>
      </c>
      <c r="AG45" s="43"/>
      <c r="AH45" s="43"/>
      <c r="AI45" s="23">
        <f t="shared" si="49"/>
        <v>0</v>
      </c>
      <c r="AJ45" s="43">
        <f t="shared" si="59"/>
        <v>0</v>
      </c>
      <c r="AK45" s="45"/>
      <c r="AL45" s="30">
        <f t="shared" si="50"/>
        <v>0</v>
      </c>
      <c r="AM45" s="43">
        <f t="shared" si="60"/>
        <v>0</v>
      </c>
      <c r="AN45" s="45"/>
      <c r="AO45" s="24">
        <f t="shared" si="51"/>
        <v>0</v>
      </c>
    </row>
    <row r="46" spans="5:41" s="5" customFormat="1" ht="15.75" x14ac:dyDescent="0.25">
      <c r="E46" s="13" t="s">
        <v>14</v>
      </c>
      <c r="F46" s="43"/>
      <c r="G46" s="43"/>
      <c r="H46" s="23">
        <f t="shared" si="40"/>
        <v>0</v>
      </c>
      <c r="I46" s="43">
        <f t="shared" si="52"/>
        <v>0</v>
      </c>
      <c r="J46" s="43"/>
      <c r="K46" s="23">
        <f t="shared" si="41"/>
        <v>0</v>
      </c>
      <c r="L46" s="43">
        <f t="shared" si="53"/>
        <v>0</v>
      </c>
      <c r="M46" s="43"/>
      <c r="N46" s="23">
        <f t="shared" si="42"/>
        <v>0</v>
      </c>
      <c r="O46" s="43">
        <f t="shared" si="54"/>
        <v>0</v>
      </c>
      <c r="P46" s="43"/>
      <c r="Q46" s="23">
        <f t="shared" si="43"/>
        <v>0</v>
      </c>
      <c r="R46" s="43">
        <f t="shared" si="55"/>
        <v>0</v>
      </c>
      <c r="S46" s="43"/>
      <c r="T46" s="23">
        <f t="shared" si="44"/>
        <v>0</v>
      </c>
      <c r="U46" s="43">
        <f t="shared" si="56"/>
        <v>0</v>
      </c>
      <c r="V46" s="43"/>
      <c r="W46" s="23">
        <f t="shared" si="45"/>
        <v>0</v>
      </c>
      <c r="X46" s="43">
        <f t="shared" si="57"/>
        <v>0</v>
      </c>
      <c r="Y46" s="43"/>
      <c r="Z46" s="23">
        <f t="shared" si="46"/>
        <v>0</v>
      </c>
      <c r="AA46" s="43">
        <f t="shared" si="58"/>
        <v>0</v>
      </c>
      <c r="AB46" s="43"/>
      <c r="AC46" s="23">
        <f t="shared" si="47"/>
        <v>0</v>
      </c>
      <c r="AD46" s="43"/>
      <c r="AE46" s="43"/>
      <c r="AF46" s="23">
        <f t="shared" si="48"/>
        <v>0</v>
      </c>
      <c r="AG46" s="43"/>
      <c r="AH46" s="43"/>
      <c r="AI46" s="23">
        <f t="shared" si="49"/>
        <v>0</v>
      </c>
      <c r="AJ46" s="43">
        <f t="shared" si="59"/>
        <v>0</v>
      </c>
      <c r="AK46" s="45"/>
      <c r="AL46" s="30">
        <f t="shared" si="50"/>
        <v>0</v>
      </c>
      <c r="AM46" s="43">
        <f t="shared" si="60"/>
        <v>0</v>
      </c>
      <c r="AN46" s="45"/>
      <c r="AO46" s="24">
        <f t="shared" si="51"/>
        <v>0</v>
      </c>
    </row>
    <row r="47" spans="5:41" s="5" customFormat="1" ht="15.75" x14ac:dyDescent="0.25">
      <c r="E47" s="13" t="s">
        <v>53</v>
      </c>
      <c r="F47" s="43"/>
      <c r="G47" s="43"/>
      <c r="H47" s="23">
        <f t="shared" si="40"/>
        <v>0</v>
      </c>
      <c r="I47" s="43">
        <f t="shared" si="52"/>
        <v>0</v>
      </c>
      <c r="J47" s="43"/>
      <c r="K47" s="23">
        <f t="shared" si="41"/>
        <v>0</v>
      </c>
      <c r="L47" s="43">
        <f t="shared" si="53"/>
        <v>0</v>
      </c>
      <c r="M47" s="43"/>
      <c r="N47" s="23">
        <f t="shared" si="42"/>
        <v>0</v>
      </c>
      <c r="O47" s="43">
        <f t="shared" si="54"/>
        <v>0</v>
      </c>
      <c r="P47" s="43"/>
      <c r="Q47" s="23">
        <f t="shared" si="43"/>
        <v>0</v>
      </c>
      <c r="R47" s="43">
        <f t="shared" si="55"/>
        <v>0</v>
      </c>
      <c r="S47" s="43"/>
      <c r="T47" s="23">
        <f t="shared" si="44"/>
        <v>0</v>
      </c>
      <c r="U47" s="43">
        <f t="shared" si="56"/>
        <v>0</v>
      </c>
      <c r="V47" s="43"/>
      <c r="W47" s="23">
        <f t="shared" si="45"/>
        <v>0</v>
      </c>
      <c r="X47" s="43">
        <f t="shared" si="57"/>
        <v>0</v>
      </c>
      <c r="Y47" s="43"/>
      <c r="Z47" s="23">
        <f t="shared" si="46"/>
        <v>0</v>
      </c>
      <c r="AA47" s="43">
        <f t="shared" si="58"/>
        <v>0</v>
      </c>
      <c r="AB47" s="43"/>
      <c r="AC47" s="23">
        <f t="shared" si="47"/>
        <v>0</v>
      </c>
      <c r="AD47" s="43"/>
      <c r="AE47" s="43"/>
      <c r="AF47" s="23">
        <f t="shared" si="48"/>
        <v>0</v>
      </c>
      <c r="AG47" s="43"/>
      <c r="AH47" s="43"/>
      <c r="AI47" s="23">
        <f t="shared" si="49"/>
        <v>0</v>
      </c>
      <c r="AJ47" s="43">
        <f t="shared" si="59"/>
        <v>0</v>
      </c>
      <c r="AK47" s="45"/>
      <c r="AL47" s="30">
        <f t="shared" si="50"/>
        <v>0</v>
      </c>
      <c r="AM47" s="43">
        <f t="shared" si="60"/>
        <v>0</v>
      </c>
      <c r="AN47" s="45"/>
      <c r="AO47" s="24">
        <f t="shared" si="51"/>
        <v>0</v>
      </c>
    </row>
    <row r="48" spans="5:41" s="5" customFormat="1" ht="15.75" hidden="1" outlineLevel="1" x14ac:dyDescent="0.25">
      <c r="E48" s="13"/>
      <c r="F48" s="43"/>
      <c r="G48" s="43"/>
      <c r="H48" s="23">
        <f t="shared" si="40"/>
        <v>0</v>
      </c>
      <c r="I48" s="43">
        <f t="shared" si="52"/>
        <v>0</v>
      </c>
      <c r="J48" s="43"/>
      <c r="K48" s="23">
        <f t="shared" si="41"/>
        <v>0</v>
      </c>
      <c r="L48" s="43">
        <f t="shared" si="53"/>
        <v>0</v>
      </c>
      <c r="M48" s="43"/>
      <c r="N48" s="23">
        <f t="shared" si="42"/>
        <v>0</v>
      </c>
      <c r="O48" s="43">
        <f t="shared" si="54"/>
        <v>0</v>
      </c>
      <c r="P48" s="43"/>
      <c r="Q48" s="23">
        <f t="shared" si="43"/>
        <v>0</v>
      </c>
      <c r="R48" s="43">
        <f t="shared" si="55"/>
        <v>0</v>
      </c>
      <c r="S48" s="43"/>
      <c r="T48" s="23">
        <f t="shared" si="44"/>
        <v>0</v>
      </c>
      <c r="U48" s="43">
        <f t="shared" si="56"/>
        <v>0</v>
      </c>
      <c r="V48" s="43"/>
      <c r="W48" s="23">
        <f t="shared" si="45"/>
        <v>0</v>
      </c>
      <c r="X48" s="43">
        <f t="shared" si="57"/>
        <v>0</v>
      </c>
      <c r="Y48" s="43"/>
      <c r="Z48" s="23">
        <f t="shared" si="46"/>
        <v>0</v>
      </c>
      <c r="AA48" s="43">
        <f t="shared" si="58"/>
        <v>0</v>
      </c>
      <c r="AB48" s="43"/>
      <c r="AC48" s="23">
        <f t="shared" si="47"/>
        <v>0</v>
      </c>
      <c r="AD48" s="43"/>
      <c r="AE48" s="43"/>
      <c r="AF48" s="23">
        <f t="shared" si="48"/>
        <v>0</v>
      </c>
      <c r="AG48" s="43"/>
      <c r="AH48" s="43"/>
      <c r="AI48" s="23">
        <f t="shared" si="49"/>
        <v>0</v>
      </c>
      <c r="AJ48" s="43">
        <f t="shared" si="59"/>
        <v>0</v>
      </c>
      <c r="AK48" s="45"/>
      <c r="AL48" s="30">
        <f t="shared" si="50"/>
        <v>0</v>
      </c>
      <c r="AM48" s="43">
        <f t="shared" si="60"/>
        <v>0</v>
      </c>
      <c r="AN48" s="45"/>
      <c r="AO48" s="24">
        <f t="shared" si="51"/>
        <v>0</v>
      </c>
    </row>
    <row r="49" spans="5:41" s="5" customFormat="1" ht="15.75" hidden="1" outlineLevel="1" x14ac:dyDescent="0.25">
      <c r="E49" s="13"/>
      <c r="F49" s="43"/>
      <c r="G49" s="43"/>
      <c r="H49" s="23">
        <f t="shared" si="40"/>
        <v>0</v>
      </c>
      <c r="I49" s="43">
        <f t="shared" si="52"/>
        <v>0</v>
      </c>
      <c r="J49" s="43"/>
      <c r="K49" s="23">
        <f t="shared" si="41"/>
        <v>0</v>
      </c>
      <c r="L49" s="43">
        <f t="shared" si="53"/>
        <v>0</v>
      </c>
      <c r="M49" s="43"/>
      <c r="N49" s="23">
        <f t="shared" si="42"/>
        <v>0</v>
      </c>
      <c r="O49" s="43">
        <f t="shared" si="54"/>
        <v>0</v>
      </c>
      <c r="P49" s="43"/>
      <c r="Q49" s="23">
        <f t="shared" si="43"/>
        <v>0</v>
      </c>
      <c r="R49" s="43">
        <f t="shared" si="55"/>
        <v>0</v>
      </c>
      <c r="S49" s="43"/>
      <c r="T49" s="23">
        <f t="shared" si="44"/>
        <v>0</v>
      </c>
      <c r="U49" s="43">
        <f t="shared" si="56"/>
        <v>0</v>
      </c>
      <c r="V49" s="43"/>
      <c r="W49" s="23">
        <f t="shared" si="45"/>
        <v>0</v>
      </c>
      <c r="X49" s="43">
        <f t="shared" si="57"/>
        <v>0</v>
      </c>
      <c r="Y49" s="43"/>
      <c r="Z49" s="23">
        <f t="shared" si="46"/>
        <v>0</v>
      </c>
      <c r="AA49" s="43">
        <f t="shared" si="58"/>
        <v>0</v>
      </c>
      <c r="AB49" s="43"/>
      <c r="AC49" s="23">
        <f t="shared" si="47"/>
        <v>0</v>
      </c>
      <c r="AD49" s="43"/>
      <c r="AE49" s="43"/>
      <c r="AF49" s="23">
        <f t="shared" si="48"/>
        <v>0</v>
      </c>
      <c r="AG49" s="43"/>
      <c r="AH49" s="43"/>
      <c r="AI49" s="23">
        <f t="shared" si="49"/>
        <v>0</v>
      </c>
      <c r="AJ49" s="43">
        <f t="shared" si="59"/>
        <v>0</v>
      </c>
      <c r="AK49" s="45"/>
      <c r="AL49" s="30">
        <f t="shared" si="50"/>
        <v>0</v>
      </c>
      <c r="AM49" s="43">
        <f t="shared" si="60"/>
        <v>0</v>
      </c>
      <c r="AN49" s="45"/>
      <c r="AO49" s="24">
        <f t="shared" si="51"/>
        <v>0</v>
      </c>
    </row>
    <row r="50" spans="5:41" s="5" customFormat="1" ht="15.75" hidden="1" outlineLevel="1" x14ac:dyDescent="0.25">
      <c r="E50" s="13"/>
      <c r="F50" s="43"/>
      <c r="G50" s="43"/>
      <c r="H50" s="23">
        <f t="shared" si="40"/>
        <v>0</v>
      </c>
      <c r="I50" s="43">
        <f t="shared" si="52"/>
        <v>0</v>
      </c>
      <c r="J50" s="43"/>
      <c r="K50" s="23">
        <f t="shared" si="41"/>
        <v>0</v>
      </c>
      <c r="L50" s="43">
        <f t="shared" si="53"/>
        <v>0</v>
      </c>
      <c r="M50" s="43"/>
      <c r="N50" s="23">
        <f t="shared" si="42"/>
        <v>0</v>
      </c>
      <c r="O50" s="43">
        <f t="shared" si="54"/>
        <v>0</v>
      </c>
      <c r="P50" s="43"/>
      <c r="Q50" s="23">
        <f t="shared" si="43"/>
        <v>0</v>
      </c>
      <c r="R50" s="43">
        <f t="shared" si="55"/>
        <v>0</v>
      </c>
      <c r="S50" s="43"/>
      <c r="T50" s="23">
        <f t="shared" si="44"/>
        <v>0</v>
      </c>
      <c r="U50" s="43">
        <f t="shared" si="56"/>
        <v>0</v>
      </c>
      <c r="V50" s="43"/>
      <c r="W50" s="23">
        <f t="shared" si="45"/>
        <v>0</v>
      </c>
      <c r="X50" s="43">
        <f t="shared" si="57"/>
        <v>0</v>
      </c>
      <c r="Y50" s="43"/>
      <c r="Z50" s="23">
        <f t="shared" si="46"/>
        <v>0</v>
      </c>
      <c r="AA50" s="43">
        <f t="shared" si="58"/>
        <v>0</v>
      </c>
      <c r="AB50" s="43"/>
      <c r="AC50" s="23">
        <f t="shared" si="47"/>
        <v>0</v>
      </c>
      <c r="AD50" s="43"/>
      <c r="AE50" s="43"/>
      <c r="AF50" s="23">
        <f t="shared" si="48"/>
        <v>0</v>
      </c>
      <c r="AG50" s="43"/>
      <c r="AH50" s="43"/>
      <c r="AI50" s="23">
        <f t="shared" si="49"/>
        <v>0</v>
      </c>
      <c r="AJ50" s="43">
        <f t="shared" si="59"/>
        <v>0</v>
      </c>
      <c r="AK50" s="45"/>
      <c r="AL50" s="30">
        <f t="shared" si="50"/>
        <v>0</v>
      </c>
      <c r="AM50" s="43">
        <f t="shared" si="60"/>
        <v>0</v>
      </c>
      <c r="AN50" s="45"/>
      <c r="AO50" s="24">
        <f t="shared" si="51"/>
        <v>0</v>
      </c>
    </row>
    <row r="51" spans="5:41" s="5" customFormat="1" ht="15.75" collapsed="1" x14ac:dyDescent="0.25">
      <c r="E51" s="14" t="s">
        <v>41</v>
      </c>
      <c r="F51" s="33">
        <f>SUM(F52:F61)</f>
        <v>0</v>
      </c>
      <c r="G51" s="33">
        <f t="shared" ref="G51:AO51" si="61">SUM(G52:G61)</f>
        <v>0</v>
      </c>
      <c r="H51" s="33">
        <f>SUM(H52:H61)</f>
        <v>0</v>
      </c>
      <c r="I51" s="33">
        <f t="shared" si="61"/>
        <v>0</v>
      </c>
      <c r="J51" s="33">
        <f t="shared" si="61"/>
        <v>0</v>
      </c>
      <c r="K51" s="33">
        <f t="shared" si="61"/>
        <v>0</v>
      </c>
      <c r="L51" s="33">
        <f t="shared" si="61"/>
        <v>0</v>
      </c>
      <c r="M51" s="33">
        <f t="shared" si="61"/>
        <v>0</v>
      </c>
      <c r="N51" s="33">
        <f t="shared" si="61"/>
        <v>0</v>
      </c>
      <c r="O51" s="33">
        <f t="shared" si="61"/>
        <v>0</v>
      </c>
      <c r="P51" s="33">
        <f t="shared" si="61"/>
        <v>0</v>
      </c>
      <c r="Q51" s="33">
        <f t="shared" si="61"/>
        <v>0</v>
      </c>
      <c r="R51" s="33">
        <f t="shared" si="61"/>
        <v>0</v>
      </c>
      <c r="S51" s="33">
        <f t="shared" si="61"/>
        <v>0</v>
      </c>
      <c r="T51" s="33">
        <f t="shared" si="61"/>
        <v>0</v>
      </c>
      <c r="U51" s="33">
        <f t="shared" si="61"/>
        <v>0</v>
      </c>
      <c r="V51" s="33">
        <f t="shared" si="61"/>
        <v>0</v>
      </c>
      <c r="W51" s="33">
        <f t="shared" si="61"/>
        <v>0</v>
      </c>
      <c r="X51" s="33">
        <f t="shared" si="61"/>
        <v>0</v>
      </c>
      <c r="Y51" s="33">
        <f t="shared" si="61"/>
        <v>0</v>
      </c>
      <c r="Z51" s="33">
        <f t="shared" si="61"/>
        <v>0</v>
      </c>
      <c r="AA51" s="33">
        <f t="shared" si="61"/>
        <v>0</v>
      </c>
      <c r="AB51" s="33">
        <f t="shared" si="61"/>
        <v>0</v>
      </c>
      <c r="AC51" s="33">
        <f t="shared" si="61"/>
        <v>0</v>
      </c>
      <c r="AD51" s="33">
        <f t="shared" si="61"/>
        <v>0</v>
      </c>
      <c r="AE51" s="33">
        <f t="shared" si="61"/>
        <v>0</v>
      </c>
      <c r="AF51" s="33">
        <f t="shared" si="61"/>
        <v>0</v>
      </c>
      <c r="AG51" s="33">
        <f t="shared" si="61"/>
        <v>0</v>
      </c>
      <c r="AH51" s="33">
        <f t="shared" si="61"/>
        <v>0</v>
      </c>
      <c r="AI51" s="33">
        <f t="shared" si="61"/>
        <v>0</v>
      </c>
      <c r="AJ51" s="33">
        <f t="shared" si="61"/>
        <v>0</v>
      </c>
      <c r="AK51" s="34">
        <f t="shared" si="61"/>
        <v>0</v>
      </c>
      <c r="AL51" s="34">
        <f t="shared" si="61"/>
        <v>0</v>
      </c>
      <c r="AM51" s="33">
        <f t="shared" si="61"/>
        <v>0</v>
      </c>
      <c r="AN51" s="34">
        <f t="shared" si="61"/>
        <v>0</v>
      </c>
      <c r="AO51" s="35">
        <f t="shared" si="61"/>
        <v>0</v>
      </c>
    </row>
    <row r="52" spans="5:41" s="5" customFormat="1" ht="15.75" x14ac:dyDescent="0.25">
      <c r="E52" s="15" t="s">
        <v>35</v>
      </c>
      <c r="F52" s="43"/>
      <c r="G52" s="43"/>
      <c r="H52" s="33">
        <f t="shared" ref="H52:H61" si="62">F52-G52</f>
        <v>0</v>
      </c>
      <c r="I52" s="43">
        <f>$F52</f>
        <v>0</v>
      </c>
      <c r="J52" s="43"/>
      <c r="K52" s="33">
        <f t="shared" ref="K52:K61" si="63">I52-J52</f>
        <v>0</v>
      </c>
      <c r="L52" s="43">
        <f>$F52</f>
        <v>0</v>
      </c>
      <c r="M52" s="43"/>
      <c r="N52" s="33">
        <f t="shared" ref="N52:N61" si="64">L52-M52</f>
        <v>0</v>
      </c>
      <c r="O52" s="43">
        <f>$F52</f>
        <v>0</v>
      </c>
      <c r="P52" s="43"/>
      <c r="Q52" s="33">
        <f t="shared" ref="Q52:Q61" si="65">O52-P52</f>
        <v>0</v>
      </c>
      <c r="R52" s="43">
        <f>$F52</f>
        <v>0</v>
      </c>
      <c r="S52" s="43"/>
      <c r="T52" s="33">
        <f t="shared" ref="T52:T61" si="66">R52-S52</f>
        <v>0</v>
      </c>
      <c r="U52" s="43">
        <f>$F52</f>
        <v>0</v>
      </c>
      <c r="V52" s="43"/>
      <c r="W52" s="33">
        <f t="shared" ref="W52:W61" si="67">U52-V52</f>
        <v>0</v>
      </c>
      <c r="X52" s="43">
        <f>$F52</f>
        <v>0</v>
      </c>
      <c r="Y52" s="43"/>
      <c r="Z52" s="33">
        <f t="shared" ref="Z52:Z61" si="68">X52-Y52</f>
        <v>0</v>
      </c>
      <c r="AA52" s="43">
        <f>$F52</f>
        <v>0</v>
      </c>
      <c r="AB52" s="43"/>
      <c r="AC52" s="33">
        <f t="shared" ref="AC52:AC61" si="69">AA52-AB52</f>
        <v>0</v>
      </c>
      <c r="AD52" s="43">
        <f>$F52</f>
        <v>0</v>
      </c>
      <c r="AE52" s="43"/>
      <c r="AF52" s="33">
        <f t="shared" ref="AF52:AF61" si="70">AD52-AE52</f>
        <v>0</v>
      </c>
      <c r="AG52" s="43">
        <f>$F52</f>
        <v>0</v>
      </c>
      <c r="AH52" s="43"/>
      <c r="AI52" s="33">
        <f t="shared" ref="AI52:AI61" si="71">AG52-AH52</f>
        <v>0</v>
      </c>
      <c r="AJ52" s="43">
        <f>$F52</f>
        <v>0</v>
      </c>
      <c r="AK52" s="45"/>
      <c r="AL52" s="34">
        <f t="shared" ref="AL52:AL61" si="72">AJ52-AK52</f>
        <v>0</v>
      </c>
      <c r="AM52" s="43">
        <f>$F52</f>
        <v>0</v>
      </c>
      <c r="AN52" s="45"/>
      <c r="AO52" s="35">
        <f t="shared" ref="AO52:AO61" si="73">AM52-AN52</f>
        <v>0</v>
      </c>
    </row>
    <row r="53" spans="5:41" s="5" customFormat="1" ht="15.75" x14ac:dyDescent="0.25">
      <c r="E53" s="15" t="s">
        <v>15</v>
      </c>
      <c r="F53" s="43"/>
      <c r="G53" s="43"/>
      <c r="H53" s="33">
        <f t="shared" si="62"/>
        <v>0</v>
      </c>
      <c r="I53" s="43">
        <f t="shared" ref="I53:I94" si="74">$F53</f>
        <v>0</v>
      </c>
      <c r="J53" s="43"/>
      <c r="K53" s="33">
        <f t="shared" si="63"/>
        <v>0</v>
      </c>
      <c r="L53" s="43">
        <f t="shared" ref="L53:L61" si="75">$F53</f>
        <v>0</v>
      </c>
      <c r="M53" s="43"/>
      <c r="N53" s="33">
        <f t="shared" si="64"/>
        <v>0</v>
      </c>
      <c r="O53" s="43">
        <f t="shared" ref="O53:O61" si="76">$F53</f>
        <v>0</v>
      </c>
      <c r="P53" s="43"/>
      <c r="Q53" s="33">
        <f t="shared" si="65"/>
        <v>0</v>
      </c>
      <c r="R53" s="43">
        <f t="shared" ref="R53:R61" si="77">$F53</f>
        <v>0</v>
      </c>
      <c r="S53" s="43"/>
      <c r="T53" s="33">
        <f t="shared" si="66"/>
        <v>0</v>
      </c>
      <c r="U53" s="43">
        <f t="shared" ref="U53:U61" si="78">$F53</f>
        <v>0</v>
      </c>
      <c r="V53" s="43"/>
      <c r="W53" s="33">
        <f t="shared" si="67"/>
        <v>0</v>
      </c>
      <c r="X53" s="43">
        <f t="shared" ref="X53:X61" si="79">$F53</f>
        <v>0</v>
      </c>
      <c r="Y53" s="43"/>
      <c r="Z53" s="33">
        <f t="shared" si="68"/>
        <v>0</v>
      </c>
      <c r="AA53" s="43">
        <f t="shared" ref="AA53:AA61" si="80">$F53</f>
        <v>0</v>
      </c>
      <c r="AB53" s="43"/>
      <c r="AC53" s="33">
        <f t="shared" si="69"/>
        <v>0</v>
      </c>
      <c r="AD53" s="43">
        <f t="shared" ref="AD53:AD61" si="81">$F53</f>
        <v>0</v>
      </c>
      <c r="AE53" s="43"/>
      <c r="AF53" s="33">
        <f t="shared" si="70"/>
        <v>0</v>
      </c>
      <c r="AG53" s="43">
        <f t="shared" ref="AG53:AG61" si="82">$F53</f>
        <v>0</v>
      </c>
      <c r="AH53" s="43"/>
      <c r="AI53" s="33">
        <f t="shared" si="71"/>
        <v>0</v>
      </c>
      <c r="AJ53" s="43">
        <f t="shared" ref="AJ53:AJ61" si="83">$F53</f>
        <v>0</v>
      </c>
      <c r="AK53" s="45"/>
      <c r="AL53" s="34">
        <f t="shared" si="72"/>
        <v>0</v>
      </c>
      <c r="AM53" s="43">
        <f t="shared" ref="AM53:AM61" si="84">$F53</f>
        <v>0</v>
      </c>
      <c r="AN53" s="45"/>
      <c r="AO53" s="35">
        <f t="shared" si="73"/>
        <v>0</v>
      </c>
    </row>
    <row r="54" spans="5:41" s="5" customFormat="1" ht="15.75" x14ac:dyDescent="0.25">
      <c r="E54" s="15" t="s">
        <v>37</v>
      </c>
      <c r="F54" s="43"/>
      <c r="G54" s="43"/>
      <c r="H54" s="33">
        <f t="shared" si="62"/>
        <v>0</v>
      </c>
      <c r="I54" s="43">
        <f t="shared" si="74"/>
        <v>0</v>
      </c>
      <c r="J54" s="43"/>
      <c r="K54" s="33">
        <f t="shared" si="63"/>
        <v>0</v>
      </c>
      <c r="L54" s="43">
        <f t="shared" si="75"/>
        <v>0</v>
      </c>
      <c r="M54" s="43"/>
      <c r="N54" s="33">
        <f t="shared" si="64"/>
        <v>0</v>
      </c>
      <c r="O54" s="43">
        <f t="shared" si="76"/>
        <v>0</v>
      </c>
      <c r="P54" s="43"/>
      <c r="Q54" s="33">
        <f t="shared" si="65"/>
        <v>0</v>
      </c>
      <c r="R54" s="43">
        <f t="shared" si="77"/>
        <v>0</v>
      </c>
      <c r="S54" s="43"/>
      <c r="T54" s="33">
        <f t="shared" si="66"/>
        <v>0</v>
      </c>
      <c r="U54" s="43">
        <f t="shared" si="78"/>
        <v>0</v>
      </c>
      <c r="V54" s="43"/>
      <c r="W54" s="33">
        <f t="shared" si="67"/>
        <v>0</v>
      </c>
      <c r="X54" s="43">
        <f t="shared" si="79"/>
        <v>0</v>
      </c>
      <c r="Y54" s="43"/>
      <c r="Z54" s="33">
        <f t="shared" si="68"/>
        <v>0</v>
      </c>
      <c r="AA54" s="43">
        <f t="shared" si="80"/>
        <v>0</v>
      </c>
      <c r="AB54" s="43"/>
      <c r="AC54" s="33">
        <f t="shared" si="69"/>
        <v>0</v>
      </c>
      <c r="AD54" s="43">
        <f t="shared" si="81"/>
        <v>0</v>
      </c>
      <c r="AE54" s="43"/>
      <c r="AF54" s="33">
        <f t="shared" si="70"/>
        <v>0</v>
      </c>
      <c r="AG54" s="43">
        <f t="shared" si="82"/>
        <v>0</v>
      </c>
      <c r="AH54" s="43"/>
      <c r="AI54" s="33">
        <f t="shared" si="71"/>
        <v>0</v>
      </c>
      <c r="AJ54" s="43">
        <f t="shared" si="83"/>
        <v>0</v>
      </c>
      <c r="AK54" s="45"/>
      <c r="AL54" s="34">
        <f t="shared" si="72"/>
        <v>0</v>
      </c>
      <c r="AM54" s="43">
        <f t="shared" si="84"/>
        <v>0</v>
      </c>
      <c r="AN54" s="45"/>
      <c r="AO54" s="35">
        <f t="shared" si="73"/>
        <v>0</v>
      </c>
    </row>
    <row r="55" spans="5:41" s="5" customFormat="1" ht="15.75" x14ac:dyDescent="0.25">
      <c r="E55" s="15" t="s">
        <v>36</v>
      </c>
      <c r="F55" s="43"/>
      <c r="G55" s="43"/>
      <c r="H55" s="33">
        <f t="shared" si="62"/>
        <v>0</v>
      </c>
      <c r="I55" s="43">
        <f t="shared" si="74"/>
        <v>0</v>
      </c>
      <c r="J55" s="43"/>
      <c r="K55" s="33">
        <f t="shared" si="63"/>
        <v>0</v>
      </c>
      <c r="L55" s="43">
        <f t="shared" si="75"/>
        <v>0</v>
      </c>
      <c r="M55" s="43"/>
      <c r="N55" s="33">
        <f t="shared" si="64"/>
        <v>0</v>
      </c>
      <c r="O55" s="43">
        <f t="shared" si="76"/>
        <v>0</v>
      </c>
      <c r="P55" s="43"/>
      <c r="Q55" s="33">
        <f t="shared" si="65"/>
        <v>0</v>
      </c>
      <c r="R55" s="43">
        <f t="shared" si="77"/>
        <v>0</v>
      </c>
      <c r="S55" s="43"/>
      <c r="T55" s="33">
        <f t="shared" si="66"/>
        <v>0</v>
      </c>
      <c r="U55" s="43">
        <f t="shared" si="78"/>
        <v>0</v>
      </c>
      <c r="V55" s="43"/>
      <c r="W55" s="33">
        <f t="shared" si="67"/>
        <v>0</v>
      </c>
      <c r="X55" s="43">
        <f t="shared" si="79"/>
        <v>0</v>
      </c>
      <c r="Y55" s="43"/>
      <c r="Z55" s="33">
        <f t="shared" si="68"/>
        <v>0</v>
      </c>
      <c r="AA55" s="43">
        <f t="shared" si="80"/>
        <v>0</v>
      </c>
      <c r="AB55" s="43"/>
      <c r="AC55" s="33">
        <f t="shared" si="69"/>
        <v>0</v>
      </c>
      <c r="AD55" s="43">
        <f t="shared" si="81"/>
        <v>0</v>
      </c>
      <c r="AE55" s="43"/>
      <c r="AF55" s="33">
        <f t="shared" si="70"/>
        <v>0</v>
      </c>
      <c r="AG55" s="43">
        <f t="shared" si="82"/>
        <v>0</v>
      </c>
      <c r="AH55" s="43"/>
      <c r="AI55" s="33">
        <f t="shared" si="71"/>
        <v>0</v>
      </c>
      <c r="AJ55" s="43">
        <f t="shared" si="83"/>
        <v>0</v>
      </c>
      <c r="AK55" s="45"/>
      <c r="AL55" s="34">
        <f t="shared" si="72"/>
        <v>0</v>
      </c>
      <c r="AM55" s="43">
        <f t="shared" si="84"/>
        <v>0</v>
      </c>
      <c r="AN55" s="45"/>
      <c r="AO55" s="35">
        <f t="shared" si="73"/>
        <v>0</v>
      </c>
    </row>
    <row r="56" spans="5:41" s="5" customFormat="1" ht="15.75" x14ac:dyDescent="0.25">
      <c r="E56" s="15" t="s">
        <v>16</v>
      </c>
      <c r="F56" s="43"/>
      <c r="G56" s="43"/>
      <c r="H56" s="33">
        <f t="shared" si="62"/>
        <v>0</v>
      </c>
      <c r="I56" s="43">
        <f t="shared" si="74"/>
        <v>0</v>
      </c>
      <c r="J56" s="43"/>
      <c r="K56" s="33">
        <f t="shared" si="63"/>
        <v>0</v>
      </c>
      <c r="L56" s="43">
        <f t="shared" si="75"/>
        <v>0</v>
      </c>
      <c r="M56" s="43"/>
      <c r="N56" s="33">
        <f t="shared" si="64"/>
        <v>0</v>
      </c>
      <c r="O56" s="43">
        <f t="shared" si="76"/>
        <v>0</v>
      </c>
      <c r="P56" s="43"/>
      <c r="Q56" s="33">
        <f t="shared" si="65"/>
        <v>0</v>
      </c>
      <c r="R56" s="43">
        <f t="shared" si="77"/>
        <v>0</v>
      </c>
      <c r="S56" s="43"/>
      <c r="T56" s="33">
        <f t="shared" si="66"/>
        <v>0</v>
      </c>
      <c r="U56" s="43">
        <f t="shared" si="78"/>
        <v>0</v>
      </c>
      <c r="V56" s="43"/>
      <c r="W56" s="33">
        <f t="shared" si="67"/>
        <v>0</v>
      </c>
      <c r="X56" s="43">
        <f t="shared" si="79"/>
        <v>0</v>
      </c>
      <c r="Y56" s="43"/>
      <c r="Z56" s="33">
        <f t="shared" si="68"/>
        <v>0</v>
      </c>
      <c r="AA56" s="43">
        <f t="shared" si="80"/>
        <v>0</v>
      </c>
      <c r="AB56" s="43"/>
      <c r="AC56" s="33">
        <f t="shared" si="69"/>
        <v>0</v>
      </c>
      <c r="AD56" s="43">
        <f t="shared" si="81"/>
        <v>0</v>
      </c>
      <c r="AE56" s="43"/>
      <c r="AF56" s="33">
        <f t="shared" si="70"/>
        <v>0</v>
      </c>
      <c r="AG56" s="43">
        <f t="shared" si="82"/>
        <v>0</v>
      </c>
      <c r="AH56" s="43"/>
      <c r="AI56" s="33">
        <f t="shared" si="71"/>
        <v>0</v>
      </c>
      <c r="AJ56" s="43">
        <f t="shared" si="83"/>
        <v>0</v>
      </c>
      <c r="AK56" s="45"/>
      <c r="AL56" s="34">
        <f t="shared" si="72"/>
        <v>0</v>
      </c>
      <c r="AM56" s="43">
        <f t="shared" si="84"/>
        <v>0</v>
      </c>
      <c r="AN56" s="45"/>
      <c r="AO56" s="35">
        <f t="shared" si="73"/>
        <v>0</v>
      </c>
    </row>
    <row r="57" spans="5:41" s="5" customFormat="1" ht="15.75" x14ac:dyDescent="0.25">
      <c r="E57" s="15" t="s">
        <v>38</v>
      </c>
      <c r="F57" s="43"/>
      <c r="G57" s="43"/>
      <c r="H57" s="33">
        <f t="shared" si="62"/>
        <v>0</v>
      </c>
      <c r="I57" s="43">
        <f t="shared" si="74"/>
        <v>0</v>
      </c>
      <c r="J57" s="43"/>
      <c r="K57" s="33">
        <f t="shared" si="63"/>
        <v>0</v>
      </c>
      <c r="L57" s="43">
        <f t="shared" si="75"/>
        <v>0</v>
      </c>
      <c r="M57" s="43"/>
      <c r="N57" s="33">
        <f t="shared" si="64"/>
        <v>0</v>
      </c>
      <c r="O57" s="43">
        <f t="shared" si="76"/>
        <v>0</v>
      </c>
      <c r="P57" s="43"/>
      <c r="Q57" s="33">
        <f t="shared" si="65"/>
        <v>0</v>
      </c>
      <c r="R57" s="43">
        <f t="shared" si="77"/>
        <v>0</v>
      </c>
      <c r="S57" s="43"/>
      <c r="T57" s="33">
        <f t="shared" si="66"/>
        <v>0</v>
      </c>
      <c r="U57" s="43">
        <f t="shared" si="78"/>
        <v>0</v>
      </c>
      <c r="V57" s="43"/>
      <c r="W57" s="33">
        <f t="shared" si="67"/>
        <v>0</v>
      </c>
      <c r="X57" s="43">
        <f t="shared" si="79"/>
        <v>0</v>
      </c>
      <c r="Y57" s="43"/>
      <c r="Z57" s="33">
        <f t="shared" si="68"/>
        <v>0</v>
      </c>
      <c r="AA57" s="43">
        <f t="shared" si="80"/>
        <v>0</v>
      </c>
      <c r="AB57" s="43"/>
      <c r="AC57" s="33">
        <f t="shared" si="69"/>
        <v>0</v>
      </c>
      <c r="AD57" s="43">
        <f t="shared" si="81"/>
        <v>0</v>
      </c>
      <c r="AE57" s="43"/>
      <c r="AF57" s="33">
        <f t="shared" si="70"/>
        <v>0</v>
      </c>
      <c r="AG57" s="43">
        <f t="shared" si="82"/>
        <v>0</v>
      </c>
      <c r="AH57" s="43"/>
      <c r="AI57" s="33">
        <f t="shared" si="71"/>
        <v>0</v>
      </c>
      <c r="AJ57" s="43">
        <f t="shared" si="83"/>
        <v>0</v>
      </c>
      <c r="AK57" s="45"/>
      <c r="AL57" s="34">
        <f t="shared" si="72"/>
        <v>0</v>
      </c>
      <c r="AM57" s="43">
        <f t="shared" si="84"/>
        <v>0</v>
      </c>
      <c r="AN57" s="45"/>
      <c r="AO57" s="35">
        <f t="shared" si="73"/>
        <v>0</v>
      </c>
    </row>
    <row r="58" spans="5:41" s="5" customFormat="1" ht="15.75" x14ac:dyDescent="0.25">
      <c r="E58" s="15" t="s">
        <v>39</v>
      </c>
      <c r="F58" s="43"/>
      <c r="G58" s="43"/>
      <c r="H58" s="33">
        <f t="shared" si="62"/>
        <v>0</v>
      </c>
      <c r="I58" s="43">
        <f t="shared" si="74"/>
        <v>0</v>
      </c>
      <c r="J58" s="43"/>
      <c r="K58" s="33">
        <f t="shared" si="63"/>
        <v>0</v>
      </c>
      <c r="L58" s="43">
        <f t="shared" si="75"/>
        <v>0</v>
      </c>
      <c r="M58" s="43"/>
      <c r="N58" s="33">
        <f t="shared" si="64"/>
        <v>0</v>
      </c>
      <c r="O58" s="43">
        <f t="shared" si="76"/>
        <v>0</v>
      </c>
      <c r="P58" s="43"/>
      <c r="Q58" s="33">
        <f t="shared" si="65"/>
        <v>0</v>
      </c>
      <c r="R58" s="43">
        <f t="shared" si="77"/>
        <v>0</v>
      </c>
      <c r="S58" s="43"/>
      <c r="T58" s="33">
        <f t="shared" si="66"/>
        <v>0</v>
      </c>
      <c r="U58" s="43">
        <f t="shared" si="78"/>
        <v>0</v>
      </c>
      <c r="V58" s="43"/>
      <c r="W58" s="33">
        <f t="shared" si="67"/>
        <v>0</v>
      </c>
      <c r="X58" s="43">
        <f t="shared" si="79"/>
        <v>0</v>
      </c>
      <c r="Y58" s="43"/>
      <c r="Z58" s="33">
        <f t="shared" si="68"/>
        <v>0</v>
      </c>
      <c r="AA58" s="43">
        <f t="shared" si="80"/>
        <v>0</v>
      </c>
      <c r="AB58" s="43"/>
      <c r="AC58" s="33">
        <f t="shared" si="69"/>
        <v>0</v>
      </c>
      <c r="AD58" s="43">
        <f t="shared" si="81"/>
        <v>0</v>
      </c>
      <c r="AE58" s="43"/>
      <c r="AF58" s="33">
        <f t="shared" si="70"/>
        <v>0</v>
      </c>
      <c r="AG58" s="43">
        <f t="shared" si="82"/>
        <v>0</v>
      </c>
      <c r="AH58" s="43"/>
      <c r="AI58" s="33">
        <f t="shared" si="71"/>
        <v>0</v>
      </c>
      <c r="AJ58" s="43">
        <f t="shared" si="83"/>
        <v>0</v>
      </c>
      <c r="AK58" s="45"/>
      <c r="AL58" s="34">
        <f t="shared" si="72"/>
        <v>0</v>
      </c>
      <c r="AM58" s="43">
        <f t="shared" si="84"/>
        <v>0</v>
      </c>
      <c r="AN58" s="45"/>
      <c r="AO58" s="35">
        <f t="shared" si="73"/>
        <v>0</v>
      </c>
    </row>
    <row r="59" spans="5:41" s="5" customFormat="1" ht="15.75" hidden="1" outlineLevel="1" x14ac:dyDescent="0.25">
      <c r="E59" s="15"/>
      <c r="F59" s="43"/>
      <c r="G59" s="43"/>
      <c r="H59" s="33">
        <f t="shared" si="62"/>
        <v>0</v>
      </c>
      <c r="I59" s="43">
        <f t="shared" si="74"/>
        <v>0</v>
      </c>
      <c r="J59" s="43"/>
      <c r="K59" s="33">
        <f t="shared" si="63"/>
        <v>0</v>
      </c>
      <c r="L59" s="43">
        <f t="shared" si="75"/>
        <v>0</v>
      </c>
      <c r="M59" s="43"/>
      <c r="N59" s="33">
        <f t="shared" si="64"/>
        <v>0</v>
      </c>
      <c r="O59" s="43">
        <f t="shared" si="76"/>
        <v>0</v>
      </c>
      <c r="P59" s="43"/>
      <c r="Q59" s="33">
        <f t="shared" si="65"/>
        <v>0</v>
      </c>
      <c r="R59" s="43">
        <f t="shared" si="77"/>
        <v>0</v>
      </c>
      <c r="S59" s="43"/>
      <c r="T59" s="33">
        <f t="shared" si="66"/>
        <v>0</v>
      </c>
      <c r="U59" s="43">
        <f t="shared" si="78"/>
        <v>0</v>
      </c>
      <c r="V59" s="43"/>
      <c r="W59" s="33">
        <f t="shared" si="67"/>
        <v>0</v>
      </c>
      <c r="X59" s="43">
        <f t="shared" si="79"/>
        <v>0</v>
      </c>
      <c r="Y59" s="43"/>
      <c r="Z59" s="33">
        <f t="shared" si="68"/>
        <v>0</v>
      </c>
      <c r="AA59" s="43">
        <f t="shared" si="80"/>
        <v>0</v>
      </c>
      <c r="AB59" s="43"/>
      <c r="AC59" s="33">
        <f t="shared" si="69"/>
        <v>0</v>
      </c>
      <c r="AD59" s="43">
        <f t="shared" si="81"/>
        <v>0</v>
      </c>
      <c r="AE59" s="43"/>
      <c r="AF59" s="33">
        <f t="shared" si="70"/>
        <v>0</v>
      </c>
      <c r="AG59" s="43">
        <f t="shared" si="82"/>
        <v>0</v>
      </c>
      <c r="AH59" s="43"/>
      <c r="AI59" s="33">
        <f t="shared" si="71"/>
        <v>0</v>
      </c>
      <c r="AJ59" s="43">
        <f t="shared" si="83"/>
        <v>0</v>
      </c>
      <c r="AK59" s="45"/>
      <c r="AL59" s="34">
        <f t="shared" si="72"/>
        <v>0</v>
      </c>
      <c r="AM59" s="43">
        <f t="shared" si="84"/>
        <v>0</v>
      </c>
      <c r="AN59" s="45"/>
      <c r="AO59" s="35">
        <f t="shared" si="73"/>
        <v>0</v>
      </c>
    </row>
    <row r="60" spans="5:41" s="5" customFormat="1" ht="15.75" hidden="1" outlineLevel="1" x14ac:dyDescent="0.25">
      <c r="E60" s="15"/>
      <c r="F60" s="43"/>
      <c r="G60" s="43"/>
      <c r="H60" s="33">
        <f t="shared" si="62"/>
        <v>0</v>
      </c>
      <c r="I60" s="43">
        <f t="shared" si="74"/>
        <v>0</v>
      </c>
      <c r="J60" s="43"/>
      <c r="K60" s="33">
        <f t="shared" si="63"/>
        <v>0</v>
      </c>
      <c r="L60" s="43">
        <f t="shared" si="75"/>
        <v>0</v>
      </c>
      <c r="M60" s="43"/>
      <c r="N60" s="33">
        <f t="shared" si="64"/>
        <v>0</v>
      </c>
      <c r="O60" s="43">
        <f t="shared" si="76"/>
        <v>0</v>
      </c>
      <c r="P60" s="43"/>
      <c r="Q60" s="33">
        <f t="shared" si="65"/>
        <v>0</v>
      </c>
      <c r="R60" s="43">
        <f t="shared" si="77"/>
        <v>0</v>
      </c>
      <c r="S60" s="43"/>
      <c r="T60" s="33">
        <f t="shared" si="66"/>
        <v>0</v>
      </c>
      <c r="U60" s="43">
        <f t="shared" si="78"/>
        <v>0</v>
      </c>
      <c r="V60" s="43"/>
      <c r="W60" s="33">
        <f t="shared" si="67"/>
        <v>0</v>
      </c>
      <c r="X60" s="43">
        <f t="shared" si="79"/>
        <v>0</v>
      </c>
      <c r="Y60" s="43"/>
      <c r="Z60" s="33">
        <f t="shared" si="68"/>
        <v>0</v>
      </c>
      <c r="AA60" s="43">
        <f t="shared" si="80"/>
        <v>0</v>
      </c>
      <c r="AB60" s="43"/>
      <c r="AC60" s="33">
        <f t="shared" si="69"/>
        <v>0</v>
      </c>
      <c r="AD60" s="43">
        <f t="shared" si="81"/>
        <v>0</v>
      </c>
      <c r="AE60" s="43"/>
      <c r="AF60" s="33">
        <f t="shared" si="70"/>
        <v>0</v>
      </c>
      <c r="AG60" s="43">
        <f t="shared" si="82"/>
        <v>0</v>
      </c>
      <c r="AH60" s="43"/>
      <c r="AI60" s="33">
        <f t="shared" si="71"/>
        <v>0</v>
      </c>
      <c r="AJ60" s="43">
        <f t="shared" si="83"/>
        <v>0</v>
      </c>
      <c r="AK60" s="45"/>
      <c r="AL60" s="34">
        <f t="shared" si="72"/>
        <v>0</v>
      </c>
      <c r="AM60" s="43">
        <f t="shared" si="84"/>
        <v>0</v>
      </c>
      <c r="AN60" s="45"/>
      <c r="AO60" s="35">
        <f t="shared" si="73"/>
        <v>0</v>
      </c>
    </row>
    <row r="61" spans="5:41" s="5" customFormat="1" ht="15.75" hidden="1" outlineLevel="1" x14ac:dyDescent="0.25">
      <c r="E61" s="15"/>
      <c r="F61" s="43"/>
      <c r="G61" s="43"/>
      <c r="H61" s="33">
        <f t="shared" si="62"/>
        <v>0</v>
      </c>
      <c r="I61" s="43">
        <f t="shared" si="74"/>
        <v>0</v>
      </c>
      <c r="J61" s="43"/>
      <c r="K61" s="33">
        <f t="shared" si="63"/>
        <v>0</v>
      </c>
      <c r="L61" s="43">
        <f t="shared" si="75"/>
        <v>0</v>
      </c>
      <c r="M61" s="43"/>
      <c r="N61" s="33">
        <f t="shared" si="64"/>
        <v>0</v>
      </c>
      <c r="O61" s="43">
        <f t="shared" si="76"/>
        <v>0</v>
      </c>
      <c r="P61" s="43"/>
      <c r="Q61" s="33">
        <f t="shared" si="65"/>
        <v>0</v>
      </c>
      <c r="R61" s="43">
        <f t="shared" si="77"/>
        <v>0</v>
      </c>
      <c r="S61" s="43"/>
      <c r="T61" s="33">
        <f t="shared" si="66"/>
        <v>0</v>
      </c>
      <c r="U61" s="43">
        <f t="shared" si="78"/>
        <v>0</v>
      </c>
      <c r="V61" s="43"/>
      <c r="W61" s="33">
        <f t="shared" si="67"/>
        <v>0</v>
      </c>
      <c r="X61" s="43">
        <f t="shared" si="79"/>
        <v>0</v>
      </c>
      <c r="Y61" s="43"/>
      <c r="Z61" s="33">
        <f t="shared" si="68"/>
        <v>0</v>
      </c>
      <c r="AA61" s="43">
        <f t="shared" si="80"/>
        <v>0</v>
      </c>
      <c r="AB61" s="43"/>
      <c r="AC61" s="33">
        <f t="shared" si="69"/>
        <v>0</v>
      </c>
      <c r="AD61" s="43">
        <f t="shared" si="81"/>
        <v>0</v>
      </c>
      <c r="AE61" s="43"/>
      <c r="AF61" s="33">
        <f t="shared" si="70"/>
        <v>0</v>
      </c>
      <c r="AG61" s="43">
        <f t="shared" si="82"/>
        <v>0</v>
      </c>
      <c r="AH61" s="43"/>
      <c r="AI61" s="33">
        <f t="shared" si="71"/>
        <v>0</v>
      </c>
      <c r="AJ61" s="43">
        <f t="shared" si="83"/>
        <v>0</v>
      </c>
      <c r="AK61" s="45"/>
      <c r="AL61" s="34">
        <f t="shared" si="72"/>
        <v>0</v>
      </c>
      <c r="AM61" s="43">
        <f t="shared" si="84"/>
        <v>0</v>
      </c>
      <c r="AN61" s="45"/>
      <c r="AO61" s="35">
        <f t="shared" si="73"/>
        <v>0</v>
      </c>
    </row>
    <row r="62" spans="5:41" s="5" customFormat="1" ht="15.75" collapsed="1" x14ac:dyDescent="0.25">
      <c r="E62" s="16" t="s">
        <v>17</v>
      </c>
      <c r="F62" s="33">
        <f>SUM(F63:F70)</f>
        <v>0</v>
      </c>
      <c r="G62" s="33">
        <f t="shared" ref="G62:AO62" si="85">SUM(G63:G70)</f>
        <v>0</v>
      </c>
      <c r="H62" s="33">
        <f t="shared" si="85"/>
        <v>0</v>
      </c>
      <c r="I62" s="33">
        <f t="shared" si="85"/>
        <v>0</v>
      </c>
      <c r="J62" s="33">
        <f t="shared" si="85"/>
        <v>0</v>
      </c>
      <c r="K62" s="33">
        <f t="shared" si="85"/>
        <v>0</v>
      </c>
      <c r="L62" s="33">
        <f t="shared" si="85"/>
        <v>0</v>
      </c>
      <c r="M62" s="33">
        <f t="shared" si="85"/>
        <v>0</v>
      </c>
      <c r="N62" s="33">
        <f t="shared" si="85"/>
        <v>0</v>
      </c>
      <c r="O62" s="33">
        <f t="shared" si="85"/>
        <v>0</v>
      </c>
      <c r="P62" s="33">
        <f t="shared" si="85"/>
        <v>0</v>
      </c>
      <c r="Q62" s="33">
        <f t="shared" si="85"/>
        <v>0</v>
      </c>
      <c r="R62" s="33">
        <f t="shared" si="85"/>
        <v>0</v>
      </c>
      <c r="S62" s="33">
        <f t="shared" si="85"/>
        <v>0</v>
      </c>
      <c r="T62" s="33">
        <f t="shared" si="85"/>
        <v>0</v>
      </c>
      <c r="U62" s="33">
        <f t="shared" si="85"/>
        <v>0</v>
      </c>
      <c r="V62" s="33">
        <f t="shared" si="85"/>
        <v>0</v>
      </c>
      <c r="W62" s="33">
        <f t="shared" si="85"/>
        <v>0</v>
      </c>
      <c r="X62" s="33">
        <f t="shared" si="85"/>
        <v>0</v>
      </c>
      <c r="Y62" s="33">
        <f t="shared" si="85"/>
        <v>0</v>
      </c>
      <c r="Z62" s="33">
        <f t="shared" si="85"/>
        <v>0</v>
      </c>
      <c r="AA62" s="33">
        <f t="shared" si="85"/>
        <v>0</v>
      </c>
      <c r="AB62" s="33">
        <f t="shared" si="85"/>
        <v>0</v>
      </c>
      <c r="AC62" s="33">
        <f t="shared" si="85"/>
        <v>0</v>
      </c>
      <c r="AD62" s="33">
        <f t="shared" si="85"/>
        <v>0</v>
      </c>
      <c r="AE62" s="33">
        <f t="shared" si="85"/>
        <v>0</v>
      </c>
      <c r="AF62" s="33">
        <f t="shared" si="85"/>
        <v>0</v>
      </c>
      <c r="AG62" s="33">
        <f t="shared" si="85"/>
        <v>0</v>
      </c>
      <c r="AH62" s="33">
        <f t="shared" si="85"/>
        <v>0</v>
      </c>
      <c r="AI62" s="33">
        <f t="shared" si="85"/>
        <v>0</v>
      </c>
      <c r="AJ62" s="33">
        <f t="shared" si="85"/>
        <v>0</v>
      </c>
      <c r="AK62" s="34">
        <f t="shared" si="85"/>
        <v>0</v>
      </c>
      <c r="AL62" s="34">
        <f t="shared" si="85"/>
        <v>0</v>
      </c>
      <c r="AM62" s="33">
        <f t="shared" si="85"/>
        <v>0</v>
      </c>
      <c r="AN62" s="34">
        <f t="shared" si="85"/>
        <v>0</v>
      </c>
      <c r="AO62" s="35">
        <f t="shared" si="85"/>
        <v>0</v>
      </c>
    </row>
    <row r="63" spans="5:41" s="5" customFormat="1" ht="15.75" x14ac:dyDescent="0.25">
      <c r="E63" s="15" t="s">
        <v>18</v>
      </c>
      <c r="F63" s="43"/>
      <c r="G63" s="43"/>
      <c r="H63" s="33">
        <f t="shared" ref="H63:H94" si="86">F63-G63</f>
        <v>0</v>
      </c>
      <c r="I63" s="43">
        <f t="shared" si="74"/>
        <v>0</v>
      </c>
      <c r="J63" s="43"/>
      <c r="K63" s="33">
        <f t="shared" ref="K63:K94" si="87">I63-J63</f>
        <v>0</v>
      </c>
      <c r="L63" s="43">
        <f t="shared" ref="L63:L70" si="88">$F63</f>
        <v>0</v>
      </c>
      <c r="M63" s="43"/>
      <c r="N63" s="33">
        <f t="shared" ref="N63:N94" si="89">L63-M63</f>
        <v>0</v>
      </c>
      <c r="O63" s="43">
        <f t="shared" ref="O63:O70" si="90">$F63</f>
        <v>0</v>
      </c>
      <c r="P63" s="43"/>
      <c r="Q63" s="33">
        <f t="shared" ref="Q63:Q94" si="91">O63-P63</f>
        <v>0</v>
      </c>
      <c r="R63" s="43">
        <f t="shared" ref="R63:R70" si="92">$F63</f>
        <v>0</v>
      </c>
      <c r="S63" s="43"/>
      <c r="T63" s="33">
        <f t="shared" ref="T63:T94" si="93">R63-S63</f>
        <v>0</v>
      </c>
      <c r="U63" s="43">
        <f t="shared" ref="U63:U70" si="94">$F63</f>
        <v>0</v>
      </c>
      <c r="V63" s="43"/>
      <c r="W63" s="33">
        <f t="shared" ref="W63:W94" si="95">U63-V63</f>
        <v>0</v>
      </c>
      <c r="X63" s="43">
        <f t="shared" ref="X63:X70" si="96">$F63</f>
        <v>0</v>
      </c>
      <c r="Y63" s="43"/>
      <c r="Z63" s="33">
        <f t="shared" ref="Z63:Z94" si="97">X63-Y63</f>
        <v>0</v>
      </c>
      <c r="AA63" s="43">
        <f t="shared" ref="AA63:AA70" si="98">$F63</f>
        <v>0</v>
      </c>
      <c r="AB63" s="43"/>
      <c r="AC63" s="33">
        <f t="shared" ref="AC63:AC94" si="99">AA63-AB63</f>
        <v>0</v>
      </c>
      <c r="AD63" s="43">
        <f t="shared" ref="AD63:AD70" si="100">$F63</f>
        <v>0</v>
      </c>
      <c r="AE63" s="43"/>
      <c r="AF63" s="33">
        <f t="shared" ref="AF63:AF94" si="101">AD63-AE63</f>
        <v>0</v>
      </c>
      <c r="AG63" s="43">
        <f t="shared" ref="AG63:AG70" si="102">$F63</f>
        <v>0</v>
      </c>
      <c r="AH63" s="43"/>
      <c r="AI63" s="33">
        <f t="shared" ref="AI63:AI94" si="103">AG63-AH63</f>
        <v>0</v>
      </c>
      <c r="AJ63" s="43">
        <f t="shared" ref="AJ63:AJ70" si="104">$F63</f>
        <v>0</v>
      </c>
      <c r="AK63" s="45"/>
      <c r="AL63" s="34">
        <f t="shared" ref="AL63:AL94" si="105">AJ63-AK63</f>
        <v>0</v>
      </c>
      <c r="AM63" s="43">
        <f t="shared" ref="AM63:AM70" si="106">$F63</f>
        <v>0</v>
      </c>
      <c r="AN63" s="45"/>
      <c r="AO63" s="35">
        <f t="shared" ref="AO63:AO94" si="107">AM63-AN63</f>
        <v>0</v>
      </c>
    </row>
    <row r="64" spans="5:41" s="5" customFormat="1" ht="15.75" x14ac:dyDescent="0.25">
      <c r="E64" s="15" t="s">
        <v>40</v>
      </c>
      <c r="F64" s="43"/>
      <c r="G64" s="43"/>
      <c r="H64" s="33">
        <f t="shared" si="86"/>
        <v>0</v>
      </c>
      <c r="I64" s="43">
        <f t="shared" si="74"/>
        <v>0</v>
      </c>
      <c r="J64" s="43"/>
      <c r="K64" s="33">
        <f t="shared" si="87"/>
        <v>0</v>
      </c>
      <c r="L64" s="43">
        <f t="shared" si="88"/>
        <v>0</v>
      </c>
      <c r="M64" s="43"/>
      <c r="N64" s="33">
        <f t="shared" si="89"/>
        <v>0</v>
      </c>
      <c r="O64" s="43">
        <f t="shared" si="90"/>
        <v>0</v>
      </c>
      <c r="P64" s="43"/>
      <c r="Q64" s="33">
        <f t="shared" si="91"/>
        <v>0</v>
      </c>
      <c r="R64" s="43">
        <f t="shared" si="92"/>
        <v>0</v>
      </c>
      <c r="S64" s="43"/>
      <c r="T64" s="33">
        <f t="shared" si="93"/>
        <v>0</v>
      </c>
      <c r="U64" s="43">
        <f t="shared" si="94"/>
        <v>0</v>
      </c>
      <c r="V64" s="43"/>
      <c r="W64" s="33">
        <f t="shared" si="95"/>
        <v>0</v>
      </c>
      <c r="X64" s="43">
        <f t="shared" si="96"/>
        <v>0</v>
      </c>
      <c r="Y64" s="43"/>
      <c r="Z64" s="33">
        <f t="shared" si="97"/>
        <v>0</v>
      </c>
      <c r="AA64" s="43">
        <f t="shared" si="98"/>
        <v>0</v>
      </c>
      <c r="AB64" s="43"/>
      <c r="AC64" s="33">
        <f t="shared" si="99"/>
        <v>0</v>
      </c>
      <c r="AD64" s="43">
        <f t="shared" si="100"/>
        <v>0</v>
      </c>
      <c r="AE64" s="43"/>
      <c r="AF64" s="33">
        <f t="shared" si="101"/>
        <v>0</v>
      </c>
      <c r="AG64" s="43">
        <f t="shared" si="102"/>
        <v>0</v>
      </c>
      <c r="AH64" s="43"/>
      <c r="AI64" s="33">
        <f t="shared" si="103"/>
        <v>0</v>
      </c>
      <c r="AJ64" s="43">
        <f t="shared" si="104"/>
        <v>0</v>
      </c>
      <c r="AK64" s="45"/>
      <c r="AL64" s="34">
        <f t="shared" si="105"/>
        <v>0</v>
      </c>
      <c r="AM64" s="43">
        <f t="shared" si="106"/>
        <v>0</v>
      </c>
      <c r="AN64" s="45"/>
      <c r="AO64" s="35">
        <f t="shared" si="107"/>
        <v>0</v>
      </c>
    </row>
    <row r="65" spans="5:41" s="5" customFormat="1" ht="15.75" x14ac:dyDescent="0.25">
      <c r="E65" s="15" t="s">
        <v>19</v>
      </c>
      <c r="F65" s="43"/>
      <c r="G65" s="43"/>
      <c r="H65" s="33">
        <f t="shared" si="86"/>
        <v>0</v>
      </c>
      <c r="I65" s="43">
        <f t="shared" si="74"/>
        <v>0</v>
      </c>
      <c r="J65" s="43"/>
      <c r="K65" s="33">
        <f t="shared" si="87"/>
        <v>0</v>
      </c>
      <c r="L65" s="43">
        <f t="shared" si="88"/>
        <v>0</v>
      </c>
      <c r="M65" s="43"/>
      <c r="N65" s="33">
        <f t="shared" si="89"/>
        <v>0</v>
      </c>
      <c r="O65" s="43">
        <f t="shared" si="90"/>
        <v>0</v>
      </c>
      <c r="P65" s="43"/>
      <c r="Q65" s="33">
        <f t="shared" si="91"/>
        <v>0</v>
      </c>
      <c r="R65" s="43">
        <f t="shared" si="92"/>
        <v>0</v>
      </c>
      <c r="S65" s="43"/>
      <c r="T65" s="33">
        <f t="shared" si="93"/>
        <v>0</v>
      </c>
      <c r="U65" s="43">
        <f t="shared" si="94"/>
        <v>0</v>
      </c>
      <c r="V65" s="43"/>
      <c r="W65" s="33">
        <f t="shared" si="95"/>
        <v>0</v>
      </c>
      <c r="X65" s="43">
        <f t="shared" si="96"/>
        <v>0</v>
      </c>
      <c r="Y65" s="43"/>
      <c r="Z65" s="33">
        <f t="shared" si="97"/>
        <v>0</v>
      </c>
      <c r="AA65" s="43">
        <f t="shared" si="98"/>
        <v>0</v>
      </c>
      <c r="AB65" s="43"/>
      <c r="AC65" s="33">
        <f t="shared" si="99"/>
        <v>0</v>
      </c>
      <c r="AD65" s="43">
        <f t="shared" si="100"/>
        <v>0</v>
      </c>
      <c r="AE65" s="43"/>
      <c r="AF65" s="33">
        <f t="shared" si="101"/>
        <v>0</v>
      </c>
      <c r="AG65" s="43">
        <f t="shared" si="102"/>
        <v>0</v>
      </c>
      <c r="AH65" s="43"/>
      <c r="AI65" s="33">
        <f t="shared" si="103"/>
        <v>0</v>
      </c>
      <c r="AJ65" s="43">
        <f t="shared" si="104"/>
        <v>0</v>
      </c>
      <c r="AK65" s="45"/>
      <c r="AL65" s="34">
        <f t="shared" si="105"/>
        <v>0</v>
      </c>
      <c r="AM65" s="43">
        <f t="shared" si="106"/>
        <v>0</v>
      </c>
      <c r="AN65" s="45"/>
      <c r="AO65" s="35">
        <f t="shared" si="107"/>
        <v>0</v>
      </c>
    </row>
    <row r="66" spans="5:41" s="5" customFormat="1" ht="15.75" x14ac:dyDescent="0.25">
      <c r="E66" s="15" t="s">
        <v>20</v>
      </c>
      <c r="F66" s="43"/>
      <c r="G66" s="43"/>
      <c r="H66" s="33">
        <f t="shared" si="86"/>
        <v>0</v>
      </c>
      <c r="I66" s="43">
        <f t="shared" si="74"/>
        <v>0</v>
      </c>
      <c r="J66" s="43"/>
      <c r="K66" s="33">
        <f t="shared" si="87"/>
        <v>0</v>
      </c>
      <c r="L66" s="43">
        <f t="shared" si="88"/>
        <v>0</v>
      </c>
      <c r="M66" s="43"/>
      <c r="N66" s="33">
        <f t="shared" si="89"/>
        <v>0</v>
      </c>
      <c r="O66" s="43">
        <f t="shared" si="90"/>
        <v>0</v>
      </c>
      <c r="P66" s="43"/>
      <c r="Q66" s="33">
        <f t="shared" si="91"/>
        <v>0</v>
      </c>
      <c r="R66" s="43">
        <f t="shared" si="92"/>
        <v>0</v>
      </c>
      <c r="S66" s="43"/>
      <c r="T66" s="33">
        <f t="shared" si="93"/>
        <v>0</v>
      </c>
      <c r="U66" s="43">
        <f t="shared" si="94"/>
        <v>0</v>
      </c>
      <c r="V66" s="43"/>
      <c r="W66" s="33">
        <f t="shared" si="95"/>
        <v>0</v>
      </c>
      <c r="X66" s="43">
        <f t="shared" si="96"/>
        <v>0</v>
      </c>
      <c r="Y66" s="43"/>
      <c r="Z66" s="33">
        <f t="shared" si="97"/>
        <v>0</v>
      </c>
      <c r="AA66" s="43">
        <f t="shared" si="98"/>
        <v>0</v>
      </c>
      <c r="AB66" s="43"/>
      <c r="AC66" s="33">
        <f t="shared" si="99"/>
        <v>0</v>
      </c>
      <c r="AD66" s="43">
        <f t="shared" si="100"/>
        <v>0</v>
      </c>
      <c r="AE66" s="43"/>
      <c r="AF66" s="33">
        <f t="shared" si="101"/>
        <v>0</v>
      </c>
      <c r="AG66" s="43">
        <f t="shared" si="102"/>
        <v>0</v>
      </c>
      <c r="AH66" s="43"/>
      <c r="AI66" s="33">
        <f t="shared" si="103"/>
        <v>0</v>
      </c>
      <c r="AJ66" s="43">
        <f t="shared" si="104"/>
        <v>0</v>
      </c>
      <c r="AK66" s="45"/>
      <c r="AL66" s="34">
        <f t="shared" si="105"/>
        <v>0</v>
      </c>
      <c r="AM66" s="43">
        <f t="shared" si="106"/>
        <v>0</v>
      </c>
      <c r="AN66" s="45"/>
      <c r="AO66" s="35">
        <f t="shared" si="107"/>
        <v>0</v>
      </c>
    </row>
    <row r="67" spans="5:41" s="5" customFormat="1" ht="15.75" x14ac:dyDescent="0.25">
      <c r="E67" s="15" t="s">
        <v>21</v>
      </c>
      <c r="F67" s="43"/>
      <c r="G67" s="43"/>
      <c r="H67" s="33">
        <f t="shared" si="86"/>
        <v>0</v>
      </c>
      <c r="I67" s="43">
        <f t="shared" si="74"/>
        <v>0</v>
      </c>
      <c r="J67" s="43"/>
      <c r="K67" s="33">
        <f t="shared" si="87"/>
        <v>0</v>
      </c>
      <c r="L67" s="43">
        <f t="shared" si="88"/>
        <v>0</v>
      </c>
      <c r="M67" s="43"/>
      <c r="N67" s="33">
        <f t="shared" si="89"/>
        <v>0</v>
      </c>
      <c r="O67" s="43">
        <f t="shared" si="90"/>
        <v>0</v>
      </c>
      <c r="P67" s="43"/>
      <c r="Q67" s="33">
        <f t="shared" si="91"/>
        <v>0</v>
      </c>
      <c r="R67" s="43">
        <f t="shared" si="92"/>
        <v>0</v>
      </c>
      <c r="S67" s="43"/>
      <c r="T67" s="33">
        <f t="shared" si="93"/>
        <v>0</v>
      </c>
      <c r="U67" s="43">
        <f t="shared" si="94"/>
        <v>0</v>
      </c>
      <c r="V67" s="43"/>
      <c r="W67" s="33">
        <f t="shared" si="95"/>
        <v>0</v>
      </c>
      <c r="X67" s="43">
        <f t="shared" si="96"/>
        <v>0</v>
      </c>
      <c r="Y67" s="43"/>
      <c r="Z67" s="33">
        <f t="shared" si="97"/>
        <v>0</v>
      </c>
      <c r="AA67" s="43">
        <f t="shared" si="98"/>
        <v>0</v>
      </c>
      <c r="AB67" s="43"/>
      <c r="AC67" s="33">
        <f t="shared" si="99"/>
        <v>0</v>
      </c>
      <c r="AD67" s="43">
        <f t="shared" si="100"/>
        <v>0</v>
      </c>
      <c r="AE67" s="43"/>
      <c r="AF67" s="33">
        <f t="shared" si="101"/>
        <v>0</v>
      </c>
      <c r="AG67" s="43">
        <f t="shared" si="102"/>
        <v>0</v>
      </c>
      <c r="AH67" s="43"/>
      <c r="AI67" s="33">
        <f t="shared" si="103"/>
        <v>0</v>
      </c>
      <c r="AJ67" s="43">
        <f t="shared" si="104"/>
        <v>0</v>
      </c>
      <c r="AK67" s="45"/>
      <c r="AL67" s="34">
        <f t="shared" si="105"/>
        <v>0</v>
      </c>
      <c r="AM67" s="43">
        <f t="shared" si="106"/>
        <v>0</v>
      </c>
      <c r="AN67" s="45"/>
      <c r="AO67" s="35">
        <f t="shared" si="107"/>
        <v>0</v>
      </c>
    </row>
    <row r="68" spans="5:41" s="5" customFormat="1" ht="15.75" hidden="1" outlineLevel="1" x14ac:dyDescent="0.25">
      <c r="E68" s="15"/>
      <c r="F68" s="43"/>
      <c r="G68" s="43"/>
      <c r="H68" s="33">
        <f t="shared" si="86"/>
        <v>0</v>
      </c>
      <c r="I68" s="43">
        <f t="shared" si="74"/>
        <v>0</v>
      </c>
      <c r="J68" s="43"/>
      <c r="K68" s="33">
        <f t="shared" si="87"/>
        <v>0</v>
      </c>
      <c r="L68" s="43">
        <f t="shared" si="88"/>
        <v>0</v>
      </c>
      <c r="M68" s="43"/>
      <c r="N68" s="33">
        <f t="shared" si="89"/>
        <v>0</v>
      </c>
      <c r="O68" s="43">
        <f t="shared" si="90"/>
        <v>0</v>
      </c>
      <c r="P68" s="43"/>
      <c r="Q68" s="33">
        <f t="shared" si="91"/>
        <v>0</v>
      </c>
      <c r="R68" s="43">
        <f t="shared" si="92"/>
        <v>0</v>
      </c>
      <c r="S68" s="43"/>
      <c r="T68" s="33">
        <f t="shared" si="93"/>
        <v>0</v>
      </c>
      <c r="U68" s="43">
        <f t="shared" si="94"/>
        <v>0</v>
      </c>
      <c r="V68" s="43"/>
      <c r="W68" s="33">
        <f t="shared" si="95"/>
        <v>0</v>
      </c>
      <c r="X68" s="43">
        <f t="shared" si="96"/>
        <v>0</v>
      </c>
      <c r="Y68" s="43"/>
      <c r="Z68" s="33">
        <f t="shared" si="97"/>
        <v>0</v>
      </c>
      <c r="AA68" s="43">
        <f t="shared" si="98"/>
        <v>0</v>
      </c>
      <c r="AB68" s="43"/>
      <c r="AC68" s="33">
        <f t="shared" si="99"/>
        <v>0</v>
      </c>
      <c r="AD68" s="43">
        <f t="shared" si="100"/>
        <v>0</v>
      </c>
      <c r="AE68" s="43"/>
      <c r="AF68" s="33">
        <f t="shared" si="101"/>
        <v>0</v>
      </c>
      <c r="AG68" s="43">
        <f t="shared" si="102"/>
        <v>0</v>
      </c>
      <c r="AH68" s="43"/>
      <c r="AI68" s="33">
        <f t="shared" si="103"/>
        <v>0</v>
      </c>
      <c r="AJ68" s="43">
        <f t="shared" si="104"/>
        <v>0</v>
      </c>
      <c r="AK68" s="45"/>
      <c r="AL68" s="34">
        <f t="shared" si="105"/>
        <v>0</v>
      </c>
      <c r="AM68" s="43">
        <f t="shared" si="106"/>
        <v>0</v>
      </c>
      <c r="AN68" s="45"/>
      <c r="AO68" s="35">
        <f t="shared" si="107"/>
        <v>0</v>
      </c>
    </row>
    <row r="69" spans="5:41" s="5" customFormat="1" ht="15.75" hidden="1" outlineLevel="1" x14ac:dyDescent="0.25">
      <c r="E69" s="15"/>
      <c r="F69" s="43"/>
      <c r="G69" s="43"/>
      <c r="H69" s="33">
        <f t="shared" si="86"/>
        <v>0</v>
      </c>
      <c r="I69" s="43">
        <f t="shared" si="74"/>
        <v>0</v>
      </c>
      <c r="J69" s="43"/>
      <c r="K69" s="33">
        <f t="shared" si="87"/>
        <v>0</v>
      </c>
      <c r="L69" s="43">
        <f t="shared" si="88"/>
        <v>0</v>
      </c>
      <c r="M69" s="43"/>
      <c r="N69" s="33">
        <f t="shared" si="89"/>
        <v>0</v>
      </c>
      <c r="O69" s="43">
        <f t="shared" si="90"/>
        <v>0</v>
      </c>
      <c r="P69" s="43"/>
      <c r="Q69" s="33">
        <f t="shared" si="91"/>
        <v>0</v>
      </c>
      <c r="R69" s="43">
        <f t="shared" si="92"/>
        <v>0</v>
      </c>
      <c r="S69" s="43"/>
      <c r="T69" s="33">
        <f t="shared" si="93"/>
        <v>0</v>
      </c>
      <c r="U69" s="43">
        <f t="shared" si="94"/>
        <v>0</v>
      </c>
      <c r="V69" s="43"/>
      <c r="W69" s="33">
        <f t="shared" si="95"/>
        <v>0</v>
      </c>
      <c r="X69" s="43">
        <f t="shared" si="96"/>
        <v>0</v>
      </c>
      <c r="Y69" s="43"/>
      <c r="Z69" s="33">
        <f t="shared" si="97"/>
        <v>0</v>
      </c>
      <c r="AA69" s="43">
        <f t="shared" si="98"/>
        <v>0</v>
      </c>
      <c r="AB69" s="43"/>
      <c r="AC69" s="33">
        <f t="shared" si="99"/>
        <v>0</v>
      </c>
      <c r="AD69" s="43">
        <f t="shared" si="100"/>
        <v>0</v>
      </c>
      <c r="AE69" s="43"/>
      <c r="AF69" s="33">
        <f t="shared" si="101"/>
        <v>0</v>
      </c>
      <c r="AG69" s="43">
        <f t="shared" si="102"/>
        <v>0</v>
      </c>
      <c r="AH69" s="43"/>
      <c r="AI69" s="33">
        <f t="shared" si="103"/>
        <v>0</v>
      </c>
      <c r="AJ69" s="43">
        <f t="shared" si="104"/>
        <v>0</v>
      </c>
      <c r="AK69" s="45"/>
      <c r="AL69" s="34">
        <f t="shared" si="105"/>
        <v>0</v>
      </c>
      <c r="AM69" s="43">
        <f t="shared" si="106"/>
        <v>0</v>
      </c>
      <c r="AN69" s="45"/>
      <c r="AO69" s="35">
        <f t="shared" si="107"/>
        <v>0</v>
      </c>
    </row>
    <row r="70" spans="5:41" s="5" customFormat="1" ht="15.75" hidden="1" outlineLevel="1" x14ac:dyDescent="0.25">
      <c r="E70" s="15"/>
      <c r="F70" s="43"/>
      <c r="G70" s="43"/>
      <c r="H70" s="33">
        <f t="shared" si="86"/>
        <v>0</v>
      </c>
      <c r="I70" s="43">
        <f t="shared" si="74"/>
        <v>0</v>
      </c>
      <c r="J70" s="43"/>
      <c r="K70" s="33">
        <f t="shared" si="87"/>
        <v>0</v>
      </c>
      <c r="L70" s="43">
        <f t="shared" si="88"/>
        <v>0</v>
      </c>
      <c r="M70" s="43"/>
      <c r="N70" s="33">
        <f t="shared" si="89"/>
        <v>0</v>
      </c>
      <c r="O70" s="43">
        <f t="shared" si="90"/>
        <v>0</v>
      </c>
      <c r="P70" s="43"/>
      <c r="Q70" s="33">
        <f t="shared" si="91"/>
        <v>0</v>
      </c>
      <c r="R70" s="43">
        <f t="shared" si="92"/>
        <v>0</v>
      </c>
      <c r="S70" s="43"/>
      <c r="T70" s="33">
        <f t="shared" si="93"/>
        <v>0</v>
      </c>
      <c r="U70" s="43">
        <f t="shared" si="94"/>
        <v>0</v>
      </c>
      <c r="V70" s="43"/>
      <c r="W70" s="33">
        <f t="shared" si="95"/>
        <v>0</v>
      </c>
      <c r="X70" s="43">
        <f t="shared" si="96"/>
        <v>0</v>
      </c>
      <c r="Y70" s="43"/>
      <c r="Z70" s="33">
        <f t="shared" si="97"/>
        <v>0</v>
      </c>
      <c r="AA70" s="43">
        <f t="shared" si="98"/>
        <v>0</v>
      </c>
      <c r="AB70" s="43"/>
      <c r="AC70" s="33">
        <f t="shared" si="99"/>
        <v>0</v>
      </c>
      <c r="AD70" s="43">
        <f t="shared" si="100"/>
        <v>0</v>
      </c>
      <c r="AE70" s="43"/>
      <c r="AF70" s="33">
        <f t="shared" si="101"/>
        <v>0</v>
      </c>
      <c r="AG70" s="43">
        <f t="shared" si="102"/>
        <v>0</v>
      </c>
      <c r="AH70" s="43"/>
      <c r="AI70" s="33">
        <f t="shared" si="103"/>
        <v>0</v>
      </c>
      <c r="AJ70" s="43">
        <f t="shared" si="104"/>
        <v>0</v>
      </c>
      <c r="AK70" s="45"/>
      <c r="AL70" s="34">
        <f t="shared" si="105"/>
        <v>0</v>
      </c>
      <c r="AM70" s="43">
        <f t="shared" si="106"/>
        <v>0</v>
      </c>
      <c r="AN70" s="45"/>
      <c r="AO70" s="35">
        <f t="shared" si="107"/>
        <v>0</v>
      </c>
    </row>
    <row r="71" spans="5:41" s="5" customFormat="1" ht="15.75" collapsed="1" x14ac:dyDescent="0.25">
      <c r="E71" s="16" t="s">
        <v>62</v>
      </c>
      <c r="F71" s="33">
        <f>SUM(F72:F79)</f>
        <v>0</v>
      </c>
      <c r="G71" s="33">
        <f t="shared" ref="G71:AO71" si="108">SUM(G72:G79)</f>
        <v>0</v>
      </c>
      <c r="H71" s="33">
        <f t="shared" si="108"/>
        <v>0</v>
      </c>
      <c r="I71" s="33">
        <f t="shared" si="108"/>
        <v>0</v>
      </c>
      <c r="J71" s="33">
        <f t="shared" si="108"/>
        <v>0</v>
      </c>
      <c r="K71" s="33">
        <f t="shared" si="108"/>
        <v>0</v>
      </c>
      <c r="L71" s="33">
        <f t="shared" si="108"/>
        <v>0</v>
      </c>
      <c r="M71" s="33">
        <f t="shared" si="108"/>
        <v>0</v>
      </c>
      <c r="N71" s="33">
        <f t="shared" si="108"/>
        <v>0</v>
      </c>
      <c r="O71" s="33">
        <f t="shared" si="108"/>
        <v>0</v>
      </c>
      <c r="P71" s="33">
        <f t="shared" si="108"/>
        <v>0</v>
      </c>
      <c r="Q71" s="33">
        <f t="shared" si="108"/>
        <v>0</v>
      </c>
      <c r="R71" s="33">
        <f t="shared" si="108"/>
        <v>0</v>
      </c>
      <c r="S71" s="33">
        <f t="shared" si="108"/>
        <v>0</v>
      </c>
      <c r="T71" s="33">
        <f t="shared" si="108"/>
        <v>0</v>
      </c>
      <c r="U71" s="33">
        <f t="shared" si="108"/>
        <v>0</v>
      </c>
      <c r="V71" s="33">
        <f t="shared" si="108"/>
        <v>0</v>
      </c>
      <c r="W71" s="33">
        <f t="shared" si="108"/>
        <v>0</v>
      </c>
      <c r="X71" s="33">
        <f t="shared" si="108"/>
        <v>0</v>
      </c>
      <c r="Y71" s="33">
        <f t="shared" si="108"/>
        <v>0</v>
      </c>
      <c r="Z71" s="33">
        <f t="shared" si="108"/>
        <v>0</v>
      </c>
      <c r="AA71" s="33">
        <f t="shared" si="108"/>
        <v>0</v>
      </c>
      <c r="AB71" s="33">
        <f t="shared" si="108"/>
        <v>0</v>
      </c>
      <c r="AC71" s="33">
        <f t="shared" si="108"/>
        <v>0</v>
      </c>
      <c r="AD71" s="33">
        <f t="shared" si="108"/>
        <v>0</v>
      </c>
      <c r="AE71" s="33">
        <f t="shared" si="108"/>
        <v>0</v>
      </c>
      <c r="AF71" s="33">
        <f t="shared" si="108"/>
        <v>0</v>
      </c>
      <c r="AG71" s="33">
        <f t="shared" si="108"/>
        <v>0</v>
      </c>
      <c r="AH71" s="33">
        <f t="shared" si="108"/>
        <v>0</v>
      </c>
      <c r="AI71" s="33">
        <f t="shared" si="108"/>
        <v>0</v>
      </c>
      <c r="AJ71" s="33">
        <f t="shared" si="108"/>
        <v>0</v>
      </c>
      <c r="AK71" s="34">
        <f t="shared" si="108"/>
        <v>0</v>
      </c>
      <c r="AL71" s="34">
        <f t="shared" si="108"/>
        <v>0</v>
      </c>
      <c r="AM71" s="33">
        <f t="shared" si="108"/>
        <v>0</v>
      </c>
      <c r="AN71" s="34">
        <f t="shared" si="108"/>
        <v>0</v>
      </c>
      <c r="AO71" s="35">
        <f t="shared" si="108"/>
        <v>0</v>
      </c>
    </row>
    <row r="72" spans="5:41" s="5" customFormat="1" ht="15.75" x14ac:dyDescent="0.25">
      <c r="E72" s="15" t="s">
        <v>22</v>
      </c>
      <c r="F72" s="43"/>
      <c r="G72" s="43"/>
      <c r="H72" s="33">
        <f t="shared" si="86"/>
        <v>0</v>
      </c>
      <c r="I72" s="43">
        <f t="shared" si="74"/>
        <v>0</v>
      </c>
      <c r="J72" s="43"/>
      <c r="K72" s="33">
        <f t="shared" si="87"/>
        <v>0</v>
      </c>
      <c r="L72" s="43">
        <f t="shared" ref="L72:L79" si="109">$F72</f>
        <v>0</v>
      </c>
      <c r="M72" s="43"/>
      <c r="N72" s="33">
        <f t="shared" si="89"/>
        <v>0</v>
      </c>
      <c r="O72" s="43">
        <f t="shared" ref="O72:O79" si="110">$F72</f>
        <v>0</v>
      </c>
      <c r="P72" s="43"/>
      <c r="Q72" s="33">
        <f t="shared" si="91"/>
        <v>0</v>
      </c>
      <c r="R72" s="43">
        <f t="shared" ref="R72:R79" si="111">$F72</f>
        <v>0</v>
      </c>
      <c r="S72" s="43"/>
      <c r="T72" s="33">
        <f t="shared" si="93"/>
        <v>0</v>
      </c>
      <c r="U72" s="43">
        <f t="shared" ref="U72:U79" si="112">$F72</f>
        <v>0</v>
      </c>
      <c r="V72" s="43"/>
      <c r="W72" s="33">
        <f t="shared" si="95"/>
        <v>0</v>
      </c>
      <c r="X72" s="43">
        <f t="shared" ref="X72:X79" si="113">$F72</f>
        <v>0</v>
      </c>
      <c r="Y72" s="43"/>
      <c r="Z72" s="33">
        <f t="shared" si="97"/>
        <v>0</v>
      </c>
      <c r="AA72" s="43">
        <f t="shared" ref="AA72:AA79" si="114">$F72</f>
        <v>0</v>
      </c>
      <c r="AB72" s="43"/>
      <c r="AC72" s="33">
        <f t="shared" si="99"/>
        <v>0</v>
      </c>
      <c r="AD72" s="43">
        <f t="shared" ref="AD72:AD79" si="115">$F72</f>
        <v>0</v>
      </c>
      <c r="AE72" s="43"/>
      <c r="AF72" s="33">
        <f t="shared" si="101"/>
        <v>0</v>
      </c>
      <c r="AG72" s="43">
        <f t="shared" ref="AG72:AG79" si="116">$F72</f>
        <v>0</v>
      </c>
      <c r="AH72" s="43"/>
      <c r="AI72" s="33">
        <f t="shared" si="103"/>
        <v>0</v>
      </c>
      <c r="AJ72" s="43">
        <f t="shared" ref="AJ72:AJ79" si="117">$F72</f>
        <v>0</v>
      </c>
      <c r="AK72" s="45"/>
      <c r="AL72" s="34">
        <f t="shared" si="105"/>
        <v>0</v>
      </c>
      <c r="AM72" s="43">
        <f t="shared" ref="AM72:AM79" si="118">$F72</f>
        <v>0</v>
      </c>
      <c r="AN72" s="45"/>
      <c r="AO72" s="35">
        <f t="shared" si="107"/>
        <v>0</v>
      </c>
    </row>
    <row r="73" spans="5:41" s="5" customFormat="1" ht="15.75" x14ac:dyDescent="0.25">
      <c r="E73" s="15" t="s">
        <v>54</v>
      </c>
      <c r="F73" s="43"/>
      <c r="G73" s="43"/>
      <c r="H73" s="33">
        <f t="shared" si="86"/>
        <v>0</v>
      </c>
      <c r="I73" s="43">
        <f t="shared" si="74"/>
        <v>0</v>
      </c>
      <c r="J73" s="43"/>
      <c r="K73" s="33">
        <f t="shared" si="87"/>
        <v>0</v>
      </c>
      <c r="L73" s="43">
        <f t="shared" si="109"/>
        <v>0</v>
      </c>
      <c r="M73" s="43"/>
      <c r="N73" s="33">
        <f t="shared" si="89"/>
        <v>0</v>
      </c>
      <c r="O73" s="43">
        <f t="shared" si="110"/>
        <v>0</v>
      </c>
      <c r="P73" s="43"/>
      <c r="Q73" s="33">
        <f t="shared" si="91"/>
        <v>0</v>
      </c>
      <c r="R73" s="43">
        <f t="shared" si="111"/>
        <v>0</v>
      </c>
      <c r="S73" s="43"/>
      <c r="T73" s="33">
        <f t="shared" si="93"/>
        <v>0</v>
      </c>
      <c r="U73" s="43">
        <f t="shared" si="112"/>
        <v>0</v>
      </c>
      <c r="V73" s="43"/>
      <c r="W73" s="33">
        <f t="shared" si="95"/>
        <v>0</v>
      </c>
      <c r="X73" s="43">
        <f t="shared" si="113"/>
        <v>0</v>
      </c>
      <c r="Y73" s="43"/>
      <c r="Z73" s="33">
        <f t="shared" si="97"/>
        <v>0</v>
      </c>
      <c r="AA73" s="43">
        <f t="shared" si="114"/>
        <v>0</v>
      </c>
      <c r="AB73" s="43"/>
      <c r="AC73" s="33">
        <f t="shared" si="99"/>
        <v>0</v>
      </c>
      <c r="AD73" s="43">
        <f t="shared" si="115"/>
        <v>0</v>
      </c>
      <c r="AE73" s="43"/>
      <c r="AF73" s="33">
        <f t="shared" si="101"/>
        <v>0</v>
      </c>
      <c r="AG73" s="43">
        <f t="shared" si="116"/>
        <v>0</v>
      </c>
      <c r="AH73" s="43"/>
      <c r="AI73" s="33">
        <f t="shared" si="103"/>
        <v>0</v>
      </c>
      <c r="AJ73" s="43">
        <f t="shared" si="117"/>
        <v>0</v>
      </c>
      <c r="AK73" s="45"/>
      <c r="AL73" s="34">
        <f t="shared" si="105"/>
        <v>0</v>
      </c>
      <c r="AM73" s="43">
        <f t="shared" si="118"/>
        <v>0</v>
      </c>
      <c r="AN73" s="45"/>
      <c r="AO73" s="35">
        <f t="shared" si="107"/>
        <v>0</v>
      </c>
    </row>
    <row r="74" spans="5:41" s="5" customFormat="1" ht="15.75" x14ac:dyDescent="0.25">
      <c r="E74" s="15" t="s">
        <v>63</v>
      </c>
      <c r="F74" s="43"/>
      <c r="G74" s="43"/>
      <c r="H74" s="33">
        <f t="shared" si="86"/>
        <v>0</v>
      </c>
      <c r="I74" s="43">
        <f t="shared" si="74"/>
        <v>0</v>
      </c>
      <c r="J74" s="43"/>
      <c r="K74" s="33">
        <f t="shared" si="87"/>
        <v>0</v>
      </c>
      <c r="L74" s="43">
        <f t="shared" si="109"/>
        <v>0</v>
      </c>
      <c r="M74" s="43"/>
      <c r="N74" s="33">
        <f t="shared" si="89"/>
        <v>0</v>
      </c>
      <c r="O74" s="43">
        <f t="shared" si="110"/>
        <v>0</v>
      </c>
      <c r="P74" s="43"/>
      <c r="Q74" s="33">
        <f t="shared" si="91"/>
        <v>0</v>
      </c>
      <c r="R74" s="43">
        <f t="shared" si="111"/>
        <v>0</v>
      </c>
      <c r="S74" s="43"/>
      <c r="T74" s="33">
        <f t="shared" si="93"/>
        <v>0</v>
      </c>
      <c r="U74" s="43">
        <f t="shared" si="112"/>
        <v>0</v>
      </c>
      <c r="V74" s="43"/>
      <c r="W74" s="33">
        <f t="shared" si="95"/>
        <v>0</v>
      </c>
      <c r="X74" s="43">
        <f t="shared" si="113"/>
        <v>0</v>
      </c>
      <c r="Y74" s="43"/>
      <c r="Z74" s="33">
        <f t="shared" si="97"/>
        <v>0</v>
      </c>
      <c r="AA74" s="43">
        <f t="shared" si="114"/>
        <v>0</v>
      </c>
      <c r="AB74" s="43"/>
      <c r="AC74" s="33">
        <f t="shared" si="99"/>
        <v>0</v>
      </c>
      <c r="AD74" s="43">
        <f t="shared" si="115"/>
        <v>0</v>
      </c>
      <c r="AE74" s="43"/>
      <c r="AF74" s="33">
        <f t="shared" si="101"/>
        <v>0</v>
      </c>
      <c r="AG74" s="43">
        <f t="shared" si="116"/>
        <v>0</v>
      </c>
      <c r="AH74" s="43"/>
      <c r="AI74" s="33">
        <f t="shared" si="103"/>
        <v>0</v>
      </c>
      <c r="AJ74" s="43">
        <f t="shared" si="117"/>
        <v>0</v>
      </c>
      <c r="AK74" s="45"/>
      <c r="AL74" s="34">
        <f t="shared" si="105"/>
        <v>0</v>
      </c>
      <c r="AM74" s="43">
        <f t="shared" si="118"/>
        <v>0</v>
      </c>
      <c r="AN74" s="45"/>
      <c r="AO74" s="35">
        <f t="shared" si="107"/>
        <v>0</v>
      </c>
    </row>
    <row r="75" spans="5:41" s="5" customFormat="1" ht="15.75" x14ac:dyDescent="0.25">
      <c r="E75" s="15" t="s">
        <v>64</v>
      </c>
      <c r="F75" s="43"/>
      <c r="G75" s="43"/>
      <c r="H75" s="33">
        <f t="shared" si="86"/>
        <v>0</v>
      </c>
      <c r="I75" s="43">
        <f t="shared" si="74"/>
        <v>0</v>
      </c>
      <c r="J75" s="43"/>
      <c r="K75" s="33">
        <f t="shared" si="87"/>
        <v>0</v>
      </c>
      <c r="L75" s="43">
        <f t="shared" si="109"/>
        <v>0</v>
      </c>
      <c r="M75" s="43"/>
      <c r="N75" s="33">
        <f t="shared" si="89"/>
        <v>0</v>
      </c>
      <c r="O75" s="43">
        <f t="shared" si="110"/>
        <v>0</v>
      </c>
      <c r="P75" s="43"/>
      <c r="Q75" s="33">
        <f t="shared" si="91"/>
        <v>0</v>
      </c>
      <c r="R75" s="43">
        <f t="shared" si="111"/>
        <v>0</v>
      </c>
      <c r="S75" s="43"/>
      <c r="T75" s="33">
        <f t="shared" si="93"/>
        <v>0</v>
      </c>
      <c r="U75" s="43">
        <f t="shared" si="112"/>
        <v>0</v>
      </c>
      <c r="V75" s="43"/>
      <c r="W75" s="33">
        <f t="shared" si="95"/>
        <v>0</v>
      </c>
      <c r="X75" s="43">
        <f t="shared" si="113"/>
        <v>0</v>
      </c>
      <c r="Y75" s="43"/>
      <c r="Z75" s="33">
        <f t="shared" si="97"/>
        <v>0</v>
      </c>
      <c r="AA75" s="43">
        <f t="shared" si="114"/>
        <v>0</v>
      </c>
      <c r="AB75" s="43"/>
      <c r="AC75" s="33">
        <f t="shared" si="99"/>
        <v>0</v>
      </c>
      <c r="AD75" s="43">
        <f t="shared" si="115"/>
        <v>0</v>
      </c>
      <c r="AE75" s="43"/>
      <c r="AF75" s="33">
        <f t="shared" si="101"/>
        <v>0</v>
      </c>
      <c r="AG75" s="43">
        <f t="shared" si="116"/>
        <v>0</v>
      </c>
      <c r="AH75" s="43"/>
      <c r="AI75" s="33">
        <f t="shared" si="103"/>
        <v>0</v>
      </c>
      <c r="AJ75" s="43">
        <f t="shared" si="117"/>
        <v>0</v>
      </c>
      <c r="AK75" s="45"/>
      <c r="AL75" s="34">
        <f t="shared" si="105"/>
        <v>0</v>
      </c>
      <c r="AM75" s="43">
        <f t="shared" si="118"/>
        <v>0</v>
      </c>
      <c r="AN75" s="45"/>
      <c r="AO75" s="35">
        <f t="shared" si="107"/>
        <v>0</v>
      </c>
    </row>
    <row r="76" spans="5:41" s="5" customFormat="1" ht="15.75" x14ac:dyDescent="0.25">
      <c r="E76" s="15" t="s">
        <v>65</v>
      </c>
      <c r="F76" s="43"/>
      <c r="G76" s="43"/>
      <c r="H76" s="33">
        <f t="shared" si="86"/>
        <v>0</v>
      </c>
      <c r="I76" s="43">
        <f t="shared" si="74"/>
        <v>0</v>
      </c>
      <c r="J76" s="43"/>
      <c r="K76" s="33">
        <f t="shared" si="87"/>
        <v>0</v>
      </c>
      <c r="L76" s="43">
        <f t="shared" si="109"/>
        <v>0</v>
      </c>
      <c r="M76" s="43"/>
      <c r="N76" s="33">
        <f t="shared" si="89"/>
        <v>0</v>
      </c>
      <c r="O76" s="43">
        <f t="shared" si="110"/>
        <v>0</v>
      </c>
      <c r="P76" s="43"/>
      <c r="Q76" s="33">
        <f t="shared" si="91"/>
        <v>0</v>
      </c>
      <c r="R76" s="43">
        <f t="shared" si="111"/>
        <v>0</v>
      </c>
      <c r="S76" s="43"/>
      <c r="T76" s="33">
        <f t="shared" si="93"/>
        <v>0</v>
      </c>
      <c r="U76" s="43">
        <f t="shared" si="112"/>
        <v>0</v>
      </c>
      <c r="V76" s="43"/>
      <c r="W76" s="33">
        <f t="shared" si="95"/>
        <v>0</v>
      </c>
      <c r="X76" s="43">
        <f t="shared" si="113"/>
        <v>0</v>
      </c>
      <c r="Y76" s="43"/>
      <c r="Z76" s="33">
        <f t="shared" si="97"/>
        <v>0</v>
      </c>
      <c r="AA76" s="43">
        <f t="shared" si="114"/>
        <v>0</v>
      </c>
      <c r="AB76" s="43"/>
      <c r="AC76" s="33">
        <f t="shared" si="99"/>
        <v>0</v>
      </c>
      <c r="AD76" s="43">
        <f t="shared" si="115"/>
        <v>0</v>
      </c>
      <c r="AE76" s="43"/>
      <c r="AF76" s="33">
        <f t="shared" si="101"/>
        <v>0</v>
      </c>
      <c r="AG76" s="43">
        <f t="shared" si="116"/>
        <v>0</v>
      </c>
      <c r="AH76" s="43"/>
      <c r="AI76" s="33">
        <f t="shared" si="103"/>
        <v>0</v>
      </c>
      <c r="AJ76" s="43">
        <f t="shared" si="117"/>
        <v>0</v>
      </c>
      <c r="AK76" s="45"/>
      <c r="AL76" s="34">
        <f t="shared" si="105"/>
        <v>0</v>
      </c>
      <c r="AM76" s="43">
        <f t="shared" si="118"/>
        <v>0</v>
      </c>
      <c r="AN76" s="45"/>
      <c r="AO76" s="35">
        <f t="shared" si="107"/>
        <v>0</v>
      </c>
    </row>
    <row r="77" spans="5:41" s="5" customFormat="1" ht="15.75" hidden="1" outlineLevel="1" x14ac:dyDescent="0.25">
      <c r="E77" s="15"/>
      <c r="F77" s="43"/>
      <c r="G77" s="43"/>
      <c r="H77" s="33">
        <f t="shared" si="86"/>
        <v>0</v>
      </c>
      <c r="I77" s="43">
        <f t="shared" si="74"/>
        <v>0</v>
      </c>
      <c r="J77" s="43"/>
      <c r="K77" s="33">
        <f t="shared" si="87"/>
        <v>0</v>
      </c>
      <c r="L77" s="43">
        <f t="shared" si="109"/>
        <v>0</v>
      </c>
      <c r="M77" s="43"/>
      <c r="N77" s="33">
        <f t="shared" si="89"/>
        <v>0</v>
      </c>
      <c r="O77" s="43">
        <f t="shared" si="110"/>
        <v>0</v>
      </c>
      <c r="P77" s="43"/>
      <c r="Q77" s="33">
        <f t="shared" si="91"/>
        <v>0</v>
      </c>
      <c r="R77" s="43">
        <f t="shared" si="111"/>
        <v>0</v>
      </c>
      <c r="S77" s="43"/>
      <c r="T77" s="33">
        <f t="shared" si="93"/>
        <v>0</v>
      </c>
      <c r="U77" s="43">
        <f t="shared" si="112"/>
        <v>0</v>
      </c>
      <c r="V77" s="43"/>
      <c r="W77" s="33">
        <f t="shared" si="95"/>
        <v>0</v>
      </c>
      <c r="X77" s="43">
        <f t="shared" si="113"/>
        <v>0</v>
      </c>
      <c r="Y77" s="43"/>
      <c r="Z77" s="33">
        <f t="shared" si="97"/>
        <v>0</v>
      </c>
      <c r="AA77" s="43">
        <f t="shared" si="114"/>
        <v>0</v>
      </c>
      <c r="AB77" s="43"/>
      <c r="AC77" s="33">
        <f t="shared" si="99"/>
        <v>0</v>
      </c>
      <c r="AD77" s="43">
        <f t="shared" si="115"/>
        <v>0</v>
      </c>
      <c r="AE77" s="43"/>
      <c r="AF77" s="33">
        <f t="shared" si="101"/>
        <v>0</v>
      </c>
      <c r="AG77" s="43">
        <f t="shared" si="116"/>
        <v>0</v>
      </c>
      <c r="AH77" s="43"/>
      <c r="AI77" s="33">
        <f t="shared" si="103"/>
        <v>0</v>
      </c>
      <c r="AJ77" s="43">
        <f t="shared" si="117"/>
        <v>0</v>
      </c>
      <c r="AK77" s="45"/>
      <c r="AL77" s="34">
        <f t="shared" si="105"/>
        <v>0</v>
      </c>
      <c r="AM77" s="43">
        <f t="shared" si="118"/>
        <v>0</v>
      </c>
      <c r="AN77" s="45"/>
      <c r="AO77" s="35">
        <f t="shared" si="107"/>
        <v>0</v>
      </c>
    </row>
    <row r="78" spans="5:41" s="5" customFormat="1" ht="15.75" hidden="1" outlineLevel="1" x14ac:dyDescent="0.25">
      <c r="E78" s="15"/>
      <c r="F78" s="43"/>
      <c r="G78" s="43"/>
      <c r="H78" s="33">
        <f t="shared" si="86"/>
        <v>0</v>
      </c>
      <c r="I78" s="43">
        <f t="shared" si="74"/>
        <v>0</v>
      </c>
      <c r="J78" s="43"/>
      <c r="K78" s="33">
        <f t="shared" si="87"/>
        <v>0</v>
      </c>
      <c r="L78" s="43">
        <f t="shared" si="109"/>
        <v>0</v>
      </c>
      <c r="M78" s="43"/>
      <c r="N78" s="33">
        <f t="shared" si="89"/>
        <v>0</v>
      </c>
      <c r="O78" s="43">
        <f t="shared" si="110"/>
        <v>0</v>
      </c>
      <c r="P78" s="43"/>
      <c r="Q78" s="33">
        <f t="shared" si="91"/>
        <v>0</v>
      </c>
      <c r="R78" s="43">
        <f t="shared" si="111"/>
        <v>0</v>
      </c>
      <c r="S78" s="43"/>
      <c r="T78" s="33">
        <f t="shared" si="93"/>
        <v>0</v>
      </c>
      <c r="U78" s="43">
        <f t="shared" si="112"/>
        <v>0</v>
      </c>
      <c r="V78" s="43"/>
      <c r="W78" s="33">
        <f t="shared" si="95"/>
        <v>0</v>
      </c>
      <c r="X78" s="43">
        <f t="shared" si="113"/>
        <v>0</v>
      </c>
      <c r="Y78" s="43"/>
      <c r="Z78" s="33">
        <f t="shared" si="97"/>
        <v>0</v>
      </c>
      <c r="AA78" s="43">
        <f t="shared" si="114"/>
        <v>0</v>
      </c>
      <c r="AB78" s="43"/>
      <c r="AC78" s="33">
        <f t="shared" si="99"/>
        <v>0</v>
      </c>
      <c r="AD78" s="43">
        <f t="shared" si="115"/>
        <v>0</v>
      </c>
      <c r="AE78" s="43"/>
      <c r="AF78" s="33">
        <f t="shared" si="101"/>
        <v>0</v>
      </c>
      <c r="AG78" s="43">
        <f t="shared" si="116"/>
        <v>0</v>
      </c>
      <c r="AH78" s="43"/>
      <c r="AI78" s="33">
        <f t="shared" si="103"/>
        <v>0</v>
      </c>
      <c r="AJ78" s="43">
        <f t="shared" si="117"/>
        <v>0</v>
      </c>
      <c r="AK78" s="45"/>
      <c r="AL78" s="34">
        <f t="shared" si="105"/>
        <v>0</v>
      </c>
      <c r="AM78" s="43">
        <f t="shared" si="118"/>
        <v>0</v>
      </c>
      <c r="AN78" s="45"/>
      <c r="AO78" s="35">
        <f t="shared" si="107"/>
        <v>0</v>
      </c>
    </row>
    <row r="79" spans="5:41" s="5" customFormat="1" ht="15.75" hidden="1" outlineLevel="1" x14ac:dyDescent="0.25">
      <c r="E79" s="15"/>
      <c r="F79" s="43"/>
      <c r="G79" s="43"/>
      <c r="H79" s="33">
        <f t="shared" si="86"/>
        <v>0</v>
      </c>
      <c r="I79" s="43">
        <f t="shared" si="74"/>
        <v>0</v>
      </c>
      <c r="J79" s="43"/>
      <c r="K79" s="33">
        <f t="shared" si="87"/>
        <v>0</v>
      </c>
      <c r="L79" s="43">
        <f t="shared" si="109"/>
        <v>0</v>
      </c>
      <c r="M79" s="43"/>
      <c r="N79" s="33">
        <f t="shared" si="89"/>
        <v>0</v>
      </c>
      <c r="O79" s="43">
        <f t="shared" si="110"/>
        <v>0</v>
      </c>
      <c r="P79" s="43"/>
      <c r="Q79" s="33">
        <f t="shared" si="91"/>
        <v>0</v>
      </c>
      <c r="R79" s="43">
        <f t="shared" si="111"/>
        <v>0</v>
      </c>
      <c r="S79" s="43"/>
      <c r="T79" s="33">
        <f t="shared" si="93"/>
        <v>0</v>
      </c>
      <c r="U79" s="43">
        <f t="shared" si="112"/>
        <v>0</v>
      </c>
      <c r="V79" s="43"/>
      <c r="W79" s="33">
        <f t="shared" si="95"/>
        <v>0</v>
      </c>
      <c r="X79" s="43">
        <f t="shared" si="113"/>
        <v>0</v>
      </c>
      <c r="Y79" s="43"/>
      <c r="Z79" s="33">
        <f t="shared" si="97"/>
        <v>0</v>
      </c>
      <c r="AA79" s="43">
        <f t="shared" si="114"/>
        <v>0</v>
      </c>
      <c r="AB79" s="43"/>
      <c r="AC79" s="33">
        <f t="shared" si="99"/>
        <v>0</v>
      </c>
      <c r="AD79" s="43">
        <f t="shared" si="115"/>
        <v>0</v>
      </c>
      <c r="AE79" s="43"/>
      <c r="AF79" s="33">
        <f t="shared" si="101"/>
        <v>0</v>
      </c>
      <c r="AG79" s="43">
        <f t="shared" si="116"/>
        <v>0</v>
      </c>
      <c r="AH79" s="43"/>
      <c r="AI79" s="33">
        <f t="shared" si="103"/>
        <v>0</v>
      </c>
      <c r="AJ79" s="43">
        <f t="shared" si="117"/>
        <v>0</v>
      </c>
      <c r="AK79" s="45"/>
      <c r="AL79" s="34">
        <f t="shared" si="105"/>
        <v>0</v>
      </c>
      <c r="AM79" s="43">
        <f t="shared" si="118"/>
        <v>0</v>
      </c>
      <c r="AN79" s="45"/>
      <c r="AO79" s="35">
        <f t="shared" si="107"/>
        <v>0</v>
      </c>
    </row>
    <row r="80" spans="5:41" s="5" customFormat="1" ht="15.75" collapsed="1" x14ac:dyDescent="0.25">
      <c r="E80" s="16" t="s">
        <v>61</v>
      </c>
      <c r="F80" s="33">
        <f>SUM(F81:F86)</f>
        <v>0</v>
      </c>
      <c r="G80" s="33">
        <f t="shared" ref="G80:AO80" si="119">SUM(G81:G86)</f>
        <v>0</v>
      </c>
      <c r="H80" s="33">
        <f t="shared" si="119"/>
        <v>0</v>
      </c>
      <c r="I80" s="33">
        <f t="shared" si="119"/>
        <v>0</v>
      </c>
      <c r="J80" s="33">
        <f t="shared" si="119"/>
        <v>0</v>
      </c>
      <c r="K80" s="33">
        <f t="shared" si="119"/>
        <v>0</v>
      </c>
      <c r="L80" s="33">
        <f t="shared" si="119"/>
        <v>0</v>
      </c>
      <c r="M80" s="33">
        <f t="shared" si="119"/>
        <v>0</v>
      </c>
      <c r="N80" s="33">
        <f t="shared" si="119"/>
        <v>0</v>
      </c>
      <c r="O80" s="33">
        <f t="shared" si="119"/>
        <v>0</v>
      </c>
      <c r="P80" s="33">
        <f t="shared" si="119"/>
        <v>0</v>
      </c>
      <c r="Q80" s="33">
        <f t="shared" si="119"/>
        <v>0</v>
      </c>
      <c r="R80" s="33">
        <f t="shared" si="119"/>
        <v>0</v>
      </c>
      <c r="S80" s="33">
        <f t="shared" si="119"/>
        <v>0</v>
      </c>
      <c r="T80" s="33">
        <f t="shared" si="119"/>
        <v>0</v>
      </c>
      <c r="U80" s="33">
        <f t="shared" si="119"/>
        <v>0</v>
      </c>
      <c r="V80" s="33">
        <f t="shared" si="119"/>
        <v>0</v>
      </c>
      <c r="W80" s="33">
        <f t="shared" si="119"/>
        <v>0</v>
      </c>
      <c r="X80" s="33">
        <f t="shared" si="119"/>
        <v>0</v>
      </c>
      <c r="Y80" s="33">
        <f t="shared" si="119"/>
        <v>0</v>
      </c>
      <c r="Z80" s="33">
        <f t="shared" si="119"/>
        <v>0</v>
      </c>
      <c r="AA80" s="33">
        <f t="shared" si="119"/>
        <v>0</v>
      </c>
      <c r="AB80" s="33">
        <f t="shared" si="119"/>
        <v>0</v>
      </c>
      <c r="AC80" s="33">
        <f t="shared" si="119"/>
        <v>0</v>
      </c>
      <c r="AD80" s="33">
        <f t="shared" si="119"/>
        <v>0</v>
      </c>
      <c r="AE80" s="33">
        <f t="shared" si="119"/>
        <v>0</v>
      </c>
      <c r="AF80" s="33">
        <f t="shared" si="119"/>
        <v>0</v>
      </c>
      <c r="AG80" s="33">
        <f t="shared" si="119"/>
        <v>0</v>
      </c>
      <c r="AH80" s="33">
        <f t="shared" si="119"/>
        <v>0</v>
      </c>
      <c r="AI80" s="33">
        <f t="shared" si="119"/>
        <v>0</v>
      </c>
      <c r="AJ80" s="33">
        <f t="shared" si="119"/>
        <v>0</v>
      </c>
      <c r="AK80" s="34">
        <f t="shared" si="119"/>
        <v>0</v>
      </c>
      <c r="AL80" s="34">
        <f t="shared" si="119"/>
        <v>0</v>
      </c>
      <c r="AM80" s="33">
        <f t="shared" si="119"/>
        <v>0</v>
      </c>
      <c r="AN80" s="34">
        <f t="shared" si="119"/>
        <v>0</v>
      </c>
      <c r="AO80" s="35">
        <f t="shared" si="119"/>
        <v>0</v>
      </c>
    </row>
    <row r="81" spans="5:41" s="5" customFormat="1" ht="15.75" x14ac:dyDescent="0.25">
      <c r="E81" s="15" t="s">
        <v>23</v>
      </c>
      <c r="F81" s="43"/>
      <c r="G81" s="43"/>
      <c r="H81" s="33">
        <f t="shared" si="86"/>
        <v>0</v>
      </c>
      <c r="I81" s="43">
        <f t="shared" si="74"/>
        <v>0</v>
      </c>
      <c r="J81" s="43"/>
      <c r="K81" s="33">
        <f t="shared" si="87"/>
        <v>0</v>
      </c>
      <c r="L81" s="43">
        <f t="shared" ref="L81:L86" si="120">$F81</f>
        <v>0</v>
      </c>
      <c r="M81" s="43"/>
      <c r="N81" s="33">
        <f t="shared" si="89"/>
        <v>0</v>
      </c>
      <c r="O81" s="43">
        <f t="shared" ref="O81:O86" si="121">$F81</f>
        <v>0</v>
      </c>
      <c r="P81" s="43"/>
      <c r="Q81" s="33">
        <f t="shared" si="91"/>
        <v>0</v>
      </c>
      <c r="R81" s="43">
        <f t="shared" ref="R81:R86" si="122">$F81</f>
        <v>0</v>
      </c>
      <c r="S81" s="43"/>
      <c r="T81" s="33">
        <f t="shared" si="93"/>
        <v>0</v>
      </c>
      <c r="U81" s="43">
        <f t="shared" ref="U81:U86" si="123">$F81</f>
        <v>0</v>
      </c>
      <c r="V81" s="43"/>
      <c r="W81" s="33">
        <f t="shared" si="95"/>
        <v>0</v>
      </c>
      <c r="X81" s="43">
        <f t="shared" ref="X81:X86" si="124">$F81</f>
        <v>0</v>
      </c>
      <c r="Y81" s="43"/>
      <c r="Z81" s="33">
        <f t="shared" si="97"/>
        <v>0</v>
      </c>
      <c r="AA81" s="43">
        <f t="shared" ref="AA81:AA86" si="125">$F81</f>
        <v>0</v>
      </c>
      <c r="AB81" s="43"/>
      <c r="AC81" s="33">
        <f t="shared" si="99"/>
        <v>0</v>
      </c>
      <c r="AD81" s="43">
        <f t="shared" ref="AD81:AD86" si="126">$F81</f>
        <v>0</v>
      </c>
      <c r="AE81" s="43"/>
      <c r="AF81" s="33">
        <f t="shared" si="101"/>
        <v>0</v>
      </c>
      <c r="AG81" s="43">
        <f t="shared" ref="AG81:AG86" si="127">$F81</f>
        <v>0</v>
      </c>
      <c r="AH81" s="43"/>
      <c r="AI81" s="33">
        <f t="shared" si="103"/>
        <v>0</v>
      </c>
      <c r="AJ81" s="43">
        <f t="shared" ref="AJ81:AJ86" si="128">$F81</f>
        <v>0</v>
      </c>
      <c r="AK81" s="45"/>
      <c r="AL81" s="34">
        <f t="shared" si="105"/>
        <v>0</v>
      </c>
      <c r="AM81" s="43">
        <f t="shared" ref="AM81:AM86" si="129">$F81</f>
        <v>0</v>
      </c>
      <c r="AN81" s="45"/>
      <c r="AO81" s="35">
        <f t="shared" si="107"/>
        <v>0</v>
      </c>
    </row>
    <row r="82" spans="5:41" s="5" customFormat="1" ht="15.75" x14ac:dyDescent="0.25">
      <c r="E82" s="15" t="s">
        <v>24</v>
      </c>
      <c r="F82" s="43"/>
      <c r="G82" s="43"/>
      <c r="H82" s="33">
        <f t="shared" si="86"/>
        <v>0</v>
      </c>
      <c r="I82" s="43">
        <f t="shared" si="74"/>
        <v>0</v>
      </c>
      <c r="J82" s="43"/>
      <c r="K82" s="33">
        <f t="shared" si="87"/>
        <v>0</v>
      </c>
      <c r="L82" s="43">
        <f t="shared" si="120"/>
        <v>0</v>
      </c>
      <c r="M82" s="43"/>
      <c r="N82" s="33">
        <f t="shared" si="89"/>
        <v>0</v>
      </c>
      <c r="O82" s="43">
        <f t="shared" si="121"/>
        <v>0</v>
      </c>
      <c r="P82" s="43"/>
      <c r="Q82" s="33">
        <f t="shared" si="91"/>
        <v>0</v>
      </c>
      <c r="R82" s="43">
        <f t="shared" si="122"/>
        <v>0</v>
      </c>
      <c r="S82" s="43"/>
      <c r="T82" s="33">
        <f t="shared" si="93"/>
        <v>0</v>
      </c>
      <c r="U82" s="43">
        <f t="shared" si="123"/>
        <v>0</v>
      </c>
      <c r="V82" s="43"/>
      <c r="W82" s="33">
        <f t="shared" si="95"/>
        <v>0</v>
      </c>
      <c r="X82" s="43">
        <f t="shared" si="124"/>
        <v>0</v>
      </c>
      <c r="Y82" s="43"/>
      <c r="Z82" s="33">
        <f t="shared" si="97"/>
        <v>0</v>
      </c>
      <c r="AA82" s="43">
        <f t="shared" si="125"/>
        <v>0</v>
      </c>
      <c r="AB82" s="43"/>
      <c r="AC82" s="33">
        <f t="shared" si="99"/>
        <v>0</v>
      </c>
      <c r="AD82" s="43">
        <f t="shared" si="126"/>
        <v>0</v>
      </c>
      <c r="AE82" s="43"/>
      <c r="AF82" s="33">
        <f t="shared" si="101"/>
        <v>0</v>
      </c>
      <c r="AG82" s="43">
        <f t="shared" si="127"/>
        <v>0</v>
      </c>
      <c r="AH82" s="43"/>
      <c r="AI82" s="33">
        <f t="shared" si="103"/>
        <v>0</v>
      </c>
      <c r="AJ82" s="43">
        <f t="shared" si="128"/>
        <v>0</v>
      </c>
      <c r="AK82" s="45"/>
      <c r="AL82" s="34">
        <f t="shared" si="105"/>
        <v>0</v>
      </c>
      <c r="AM82" s="43">
        <f t="shared" si="129"/>
        <v>0</v>
      </c>
      <c r="AN82" s="45"/>
      <c r="AO82" s="35">
        <f t="shared" si="107"/>
        <v>0</v>
      </c>
    </row>
    <row r="83" spans="5:41" s="5" customFormat="1" ht="15.75" x14ac:dyDescent="0.25">
      <c r="E83" s="15" t="s">
        <v>25</v>
      </c>
      <c r="F83" s="43"/>
      <c r="G83" s="43"/>
      <c r="H83" s="33">
        <f t="shared" si="86"/>
        <v>0</v>
      </c>
      <c r="I83" s="43">
        <f t="shared" si="74"/>
        <v>0</v>
      </c>
      <c r="J83" s="43"/>
      <c r="K83" s="33">
        <f t="shared" si="87"/>
        <v>0</v>
      </c>
      <c r="L83" s="43">
        <f t="shared" si="120"/>
        <v>0</v>
      </c>
      <c r="M83" s="43"/>
      <c r="N83" s="33">
        <f t="shared" si="89"/>
        <v>0</v>
      </c>
      <c r="O83" s="43">
        <f t="shared" si="121"/>
        <v>0</v>
      </c>
      <c r="P83" s="43"/>
      <c r="Q83" s="33">
        <f t="shared" si="91"/>
        <v>0</v>
      </c>
      <c r="R83" s="43">
        <f t="shared" si="122"/>
        <v>0</v>
      </c>
      <c r="S83" s="43"/>
      <c r="T83" s="33">
        <f t="shared" si="93"/>
        <v>0</v>
      </c>
      <c r="U83" s="43">
        <f t="shared" si="123"/>
        <v>0</v>
      </c>
      <c r="V83" s="43"/>
      <c r="W83" s="33">
        <f t="shared" si="95"/>
        <v>0</v>
      </c>
      <c r="X83" s="43">
        <f t="shared" si="124"/>
        <v>0</v>
      </c>
      <c r="Y83" s="43"/>
      <c r="Z83" s="33">
        <f t="shared" si="97"/>
        <v>0</v>
      </c>
      <c r="AA83" s="43">
        <f t="shared" si="125"/>
        <v>0</v>
      </c>
      <c r="AB83" s="43"/>
      <c r="AC83" s="33">
        <f t="shared" si="99"/>
        <v>0</v>
      </c>
      <c r="AD83" s="43">
        <f t="shared" si="126"/>
        <v>0</v>
      </c>
      <c r="AE83" s="43"/>
      <c r="AF83" s="33">
        <f t="shared" si="101"/>
        <v>0</v>
      </c>
      <c r="AG83" s="43">
        <f t="shared" si="127"/>
        <v>0</v>
      </c>
      <c r="AH83" s="43"/>
      <c r="AI83" s="33">
        <f t="shared" si="103"/>
        <v>0</v>
      </c>
      <c r="AJ83" s="43">
        <f t="shared" si="128"/>
        <v>0</v>
      </c>
      <c r="AK83" s="45"/>
      <c r="AL83" s="34">
        <f t="shared" si="105"/>
        <v>0</v>
      </c>
      <c r="AM83" s="43">
        <f t="shared" si="129"/>
        <v>0</v>
      </c>
      <c r="AN83" s="45"/>
      <c r="AO83" s="35">
        <f t="shared" si="107"/>
        <v>0</v>
      </c>
    </row>
    <row r="84" spans="5:41" s="5" customFormat="1" ht="15.75" hidden="1" outlineLevel="1" x14ac:dyDescent="0.25">
      <c r="E84" s="15"/>
      <c r="F84" s="43"/>
      <c r="G84" s="43"/>
      <c r="H84" s="33">
        <f t="shared" si="86"/>
        <v>0</v>
      </c>
      <c r="I84" s="43">
        <f t="shared" si="74"/>
        <v>0</v>
      </c>
      <c r="J84" s="43"/>
      <c r="K84" s="33">
        <f t="shared" si="87"/>
        <v>0</v>
      </c>
      <c r="L84" s="43">
        <f t="shared" si="120"/>
        <v>0</v>
      </c>
      <c r="M84" s="43"/>
      <c r="N84" s="33">
        <f t="shared" si="89"/>
        <v>0</v>
      </c>
      <c r="O84" s="43">
        <f t="shared" si="121"/>
        <v>0</v>
      </c>
      <c r="P84" s="43"/>
      <c r="Q84" s="33">
        <f t="shared" si="91"/>
        <v>0</v>
      </c>
      <c r="R84" s="43">
        <f t="shared" si="122"/>
        <v>0</v>
      </c>
      <c r="S84" s="43"/>
      <c r="T84" s="33">
        <f t="shared" si="93"/>
        <v>0</v>
      </c>
      <c r="U84" s="43">
        <f t="shared" si="123"/>
        <v>0</v>
      </c>
      <c r="V84" s="43"/>
      <c r="W84" s="33">
        <f t="shared" si="95"/>
        <v>0</v>
      </c>
      <c r="X84" s="43">
        <f t="shared" si="124"/>
        <v>0</v>
      </c>
      <c r="Y84" s="43"/>
      <c r="Z84" s="33">
        <f t="shared" si="97"/>
        <v>0</v>
      </c>
      <c r="AA84" s="43">
        <f t="shared" si="125"/>
        <v>0</v>
      </c>
      <c r="AB84" s="43"/>
      <c r="AC84" s="33">
        <f t="shared" si="99"/>
        <v>0</v>
      </c>
      <c r="AD84" s="43">
        <f t="shared" si="126"/>
        <v>0</v>
      </c>
      <c r="AE84" s="43"/>
      <c r="AF84" s="33">
        <f t="shared" si="101"/>
        <v>0</v>
      </c>
      <c r="AG84" s="43">
        <f t="shared" si="127"/>
        <v>0</v>
      </c>
      <c r="AH84" s="43"/>
      <c r="AI84" s="33">
        <f t="shared" si="103"/>
        <v>0</v>
      </c>
      <c r="AJ84" s="43">
        <f t="shared" si="128"/>
        <v>0</v>
      </c>
      <c r="AK84" s="45"/>
      <c r="AL84" s="34">
        <f t="shared" si="105"/>
        <v>0</v>
      </c>
      <c r="AM84" s="43">
        <f t="shared" si="129"/>
        <v>0</v>
      </c>
      <c r="AN84" s="45"/>
      <c r="AO84" s="35">
        <f t="shared" si="107"/>
        <v>0</v>
      </c>
    </row>
    <row r="85" spans="5:41" s="5" customFormat="1" ht="15.75" hidden="1" outlineLevel="1" x14ac:dyDescent="0.25">
      <c r="E85" s="15"/>
      <c r="F85" s="43"/>
      <c r="G85" s="43"/>
      <c r="H85" s="33">
        <f t="shared" si="86"/>
        <v>0</v>
      </c>
      <c r="I85" s="43">
        <f t="shared" si="74"/>
        <v>0</v>
      </c>
      <c r="J85" s="43"/>
      <c r="K85" s="33">
        <f t="shared" si="87"/>
        <v>0</v>
      </c>
      <c r="L85" s="43">
        <f t="shared" si="120"/>
        <v>0</v>
      </c>
      <c r="M85" s="43"/>
      <c r="N85" s="33">
        <f t="shared" si="89"/>
        <v>0</v>
      </c>
      <c r="O85" s="43">
        <f t="shared" si="121"/>
        <v>0</v>
      </c>
      <c r="P85" s="43"/>
      <c r="Q85" s="33">
        <f t="shared" si="91"/>
        <v>0</v>
      </c>
      <c r="R85" s="43">
        <f t="shared" si="122"/>
        <v>0</v>
      </c>
      <c r="S85" s="43"/>
      <c r="T85" s="33">
        <f t="shared" si="93"/>
        <v>0</v>
      </c>
      <c r="U85" s="43">
        <f t="shared" si="123"/>
        <v>0</v>
      </c>
      <c r="V85" s="43"/>
      <c r="W85" s="33">
        <f t="shared" si="95"/>
        <v>0</v>
      </c>
      <c r="X85" s="43">
        <f t="shared" si="124"/>
        <v>0</v>
      </c>
      <c r="Y85" s="43"/>
      <c r="Z85" s="33">
        <f t="shared" si="97"/>
        <v>0</v>
      </c>
      <c r="AA85" s="43">
        <f t="shared" si="125"/>
        <v>0</v>
      </c>
      <c r="AB85" s="43"/>
      <c r="AC85" s="33">
        <f t="shared" si="99"/>
        <v>0</v>
      </c>
      <c r="AD85" s="43">
        <f t="shared" si="126"/>
        <v>0</v>
      </c>
      <c r="AE85" s="43"/>
      <c r="AF85" s="33">
        <f t="shared" si="101"/>
        <v>0</v>
      </c>
      <c r="AG85" s="43">
        <f t="shared" si="127"/>
        <v>0</v>
      </c>
      <c r="AH85" s="43"/>
      <c r="AI85" s="33">
        <f t="shared" si="103"/>
        <v>0</v>
      </c>
      <c r="AJ85" s="43">
        <f t="shared" si="128"/>
        <v>0</v>
      </c>
      <c r="AK85" s="45"/>
      <c r="AL85" s="34">
        <f t="shared" si="105"/>
        <v>0</v>
      </c>
      <c r="AM85" s="43">
        <f t="shared" si="129"/>
        <v>0</v>
      </c>
      <c r="AN85" s="45"/>
      <c r="AO85" s="35">
        <f t="shared" si="107"/>
        <v>0</v>
      </c>
    </row>
    <row r="86" spans="5:41" s="5" customFormat="1" ht="15.75" hidden="1" outlineLevel="1" x14ac:dyDescent="0.25">
      <c r="E86" s="15"/>
      <c r="F86" s="43"/>
      <c r="G86" s="43"/>
      <c r="H86" s="33">
        <f t="shared" si="86"/>
        <v>0</v>
      </c>
      <c r="I86" s="43">
        <f t="shared" si="74"/>
        <v>0</v>
      </c>
      <c r="J86" s="43"/>
      <c r="K86" s="33">
        <f t="shared" si="87"/>
        <v>0</v>
      </c>
      <c r="L86" s="43">
        <f t="shared" si="120"/>
        <v>0</v>
      </c>
      <c r="M86" s="43"/>
      <c r="N86" s="33">
        <f t="shared" si="89"/>
        <v>0</v>
      </c>
      <c r="O86" s="43">
        <f t="shared" si="121"/>
        <v>0</v>
      </c>
      <c r="P86" s="43"/>
      <c r="Q86" s="33">
        <f t="shared" si="91"/>
        <v>0</v>
      </c>
      <c r="R86" s="43">
        <f t="shared" si="122"/>
        <v>0</v>
      </c>
      <c r="S86" s="43"/>
      <c r="T86" s="33">
        <f t="shared" si="93"/>
        <v>0</v>
      </c>
      <c r="U86" s="43">
        <f t="shared" si="123"/>
        <v>0</v>
      </c>
      <c r="V86" s="43"/>
      <c r="W86" s="33">
        <f t="shared" si="95"/>
        <v>0</v>
      </c>
      <c r="X86" s="43">
        <f t="shared" si="124"/>
        <v>0</v>
      </c>
      <c r="Y86" s="43"/>
      <c r="Z86" s="33">
        <f t="shared" si="97"/>
        <v>0</v>
      </c>
      <c r="AA86" s="43">
        <f t="shared" si="125"/>
        <v>0</v>
      </c>
      <c r="AB86" s="43"/>
      <c r="AC86" s="33">
        <f t="shared" si="99"/>
        <v>0</v>
      </c>
      <c r="AD86" s="43">
        <f t="shared" si="126"/>
        <v>0</v>
      </c>
      <c r="AE86" s="43"/>
      <c r="AF86" s="33">
        <f t="shared" si="101"/>
        <v>0</v>
      </c>
      <c r="AG86" s="43">
        <f t="shared" si="127"/>
        <v>0</v>
      </c>
      <c r="AH86" s="43"/>
      <c r="AI86" s="33">
        <f t="shared" si="103"/>
        <v>0</v>
      </c>
      <c r="AJ86" s="43">
        <f t="shared" si="128"/>
        <v>0</v>
      </c>
      <c r="AK86" s="45"/>
      <c r="AL86" s="34">
        <f t="shared" si="105"/>
        <v>0</v>
      </c>
      <c r="AM86" s="43">
        <f t="shared" si="129"/>
        <v>0</v>
      </c>
      <c r="AN86" s="45"/>
      <c r="AO86" s="35">
        <f t="shared" si="107"/>
        <v>0</v>
      </c>
    </row>
    <row r="87" spans="5:41" s="5" customFormat="1" ht="15.75" collapsed="1" x14ac:dyDescent="0.25">
      <c r="E87" s="16" t="s">
        <v>26</v>
      </c>
      <c r="F87" s="33">
        <f>SUM(F88:F92)</f>
        <v>0</v>
      </c>
      <c r="G87" s="33">
        <f t="shared" ref="G87:AO87" si="130">SUM(G88:G92)</f>
        <v>0</v>
      </c>
      <c r="H87" s="33">
        <f t="shared" si="130"/>
        <v>0</v>
      </c>
      <c r="I87" s="33">
        <f t="shared" si="130"/>
        <v>0</v>
      </c>
      <c r="J87" s="33">
        <f t="shared" si="130"/>
        <v>0</v>
      </c>
      <c r="K87" s="33">
        <f t="shared" si="130"/>
        <v>0</v>
      </c>
      <c r="L87" s="33">
        <f t="shared" si="130"/>
        <v>0</v>
      </c>
      <c r="M87" s="33">
        <f t="shared" si="130"/>
        <v>0</v>
      </c>
      <c r="N87" s="33">
        <f t="shared" si="130"/>
        <v>0</v>
      </c>
      <c r="O87" s="33">
        <f t="shared" si="130"/>
        <v>0</v>
      </c>
      <c r="P87" s="33">
        <f t="shared" si="130"/>
        <v>0</v>
      </c>
      <c r="Q87" s="33">
        <f t="shared" si="130"/>
        <v>0</v>
      </c>
      <c r="R87" s="33">
        <f t="shared" si="130"/>
        <v>0</v>
      </c>
      <c r="S87" s="33">
        <f t="shared" si="130"/>
        <v>0</v>
      </c>
      <c r="T87" s="33">
        <f t="shared" si="130"/>
        <v>0</v>
      </c>
      <c r="U87" s="33">
        <f t="shared" si="130"/>
        <v>0</v>
      </c>
      <c r="V87" s="33">
        <f t="shared" si="130"/>
        <v>0</v>
      </c>
      <c r="W87" s="33">
        <f t="shared" si="130"/>
        <v>0</v>
      </c>
      <c r="X87" s="33">
        <f t="shared" si="130"/>
        <v>0</v>
      </c>
      <c r="Y87" s="33">
        <f t="shared" si="130"/>
        <v>0</v>
      </c>
      <c r="Z87" s="33">
        <f t="shared" si="130"/>
        <v>0</v>
      </c>
      <c r="AA87" s="33">
        <f t="shared" si="130"/>
        <v>0</v>
      </c>
      <c r="AB87" s="33">
        <f t="shared" si="130"/>
        <v>0</v>
      </c>
      <c r="AC87" s="33">
        <f t="shared" si="130"/>
        <v>0</v>
      </c>
      <c r="AD87" s="33">
        <f t="shared" si="130"/>
        <v>0</v>
      </c>
      <c r="AE87" s="33">
        <f t="shared" si="130"/>
        <v>0</v>
      </c>
      <c r="AF87" s="33">
        <f t="shared" si="130"/>
        <v>0</v>
      </c>
      <c r="AG87" s="33">
        <f t="shared" si="130"/>
        <v>0</v>
      </c>
      <c r="AH87" s="33">
        <f t="shared" si="130"/>
        <v>0</v>
      </c>
      <c r="AI87" s="33">
        <f t="shared" si="130"/>
        <v>0</v>
      </c>
      <c r="AJ87" s="33">
        <f t="shared" si="130"/>
        <v>0</v>
      </c>
      <c r="AK87" s="34">
        <f t="shared" si="130"/>
        <v>0</v>
      </c>
      <c r="AL87" s="34">
        <f t="shared" si="130"/>
        <v>0</v>
      </c>
      <c r="AM87" s="33">
        <f t="shared" si="130"/>
        <v>0</v>
      </c>
      <c r="AN87" s="34">
        <f t="shared" si="130"/>
        <v>0</v>
      </c>
      <c r="AO87" s="35">
        <f t="shared" si="130"/>
        <v>0</v>
      </c>
    </row>
    <row r="88" spans="5:41" s="5" customFormat="1" ht="15.75" x14ac:dyDescent="0.25">
      <c r="E88" s="15" t="s">
        <v>59</v>
      </c>
      <c r="F88" s="43"/>
      <c r="G88" s="43"/>
      <c r="H88" s="33">
        <f t="shared" si="86"/>
        <v>0</v>
      </c>
      <c r="I88" s="43">
        <f t="shared" si="74"/>
        <v>0</v>
      </c>
      <c r="J88" s="43"/>
      <c r="K88" s="33">
        <f t="shared" si="87"/>
        <v>0</v>
      </c>
      <c r="L88" s="43">
        <f t="shared" ref="L88:L92" si="131">$F88</f>
        <v>0</v>
      </c>
      <c r="M88" s="43"/>
      <c r="N88" s="33">
        <f t="shared" si="89"/>
        <v>0</v>
      </c>
      <c r="O88" s="43">
        <f t="shared" ref="O88:O92" si="132">$F88</f>
        <v>0</v>
      </c>
      <c r="P88" s="43"/>
      <c r="Q88" s="33">
        <f t="shared" si="91"/>
        <v>0</v>
      </c>
      <c r="R88" s="43">
        <f t="shared" ref="R88:R92" si="133">$F88</f>
        <v>0</v>
      </c>
      <c r="S88" s="43"/>
      <c r="T88" s="33">
        <f t="shared" si="93"/>
        <v>0</v>
      </c>
      <c r="U88" s="43">
        <f t="shared" ref="U88:U92" si="134">$F88</f>
        <v>0</v>
      </c>
      <c r="V88" s="43"/>
      <c r="W88" s="33">
        <f t="shared" si="95"/>
        <v>0</v>
      </c>
      <c r="X88" s="43">
        <f t="shared" ref="X88:X92" si="135">$F88</f>
        <v>0</v>
      </c>
      <c r="Y88" s="43"/>
      <c r="Z88" s="33">
        <f t="shared" si="97"/>
        <v>0</v>
      </c>
      <c r="AA88" s="43">
        <f t="shared" ref="AA88:AA92" si="136">$F88</f>
        <v>0</v>
      </c>
      <c r="AB88" s="43"/>
      <c r="AC88" s="33">
        <f t="shared" si="99"/>
        <v>0</v>
      </c>
      <c r="AD88" s="43">
        <f t="shared" ref="AD88:AD92" si="137">$F88</f>
        <v>0</v>
      </c>
      <c r="AE88" s="43"/>
      <c r="AF88" s="33">
        <f t="shared" si="101"/>
        <v>0</v>
      </c>
      <c r="AG88" s="43">
        <f t="shared" ref="AG88:AG92" si="138">$F88</f>
        <v>0</v>
      </c>
      <c r="AH88" s="43"/>
      <c r="AI88" s="33">
        <f t="shared" si="103"/>
        <v>0</v>
      </c>
      <c r="AJ88" s="43">
        <f t="shared" ref="AJ88:AJ92" si="139">$F88</f>
        <v>0</v>
      </c>
      <c r="AK88" s="45"/>
      <c r="AL88" s="34">
        <f t="shared" si="105"/>
        <v>0</v>
      </c>
      <c r="AM88" s="43">
        <f t="shared" ref="AM88:AM92" si="140">$F88</f>
        <v>0</v>
      </c>
      <c r="AN88" s="45"/>
      <c r="AO88" s="35">
        <f t="shared" si="107"/>
        <v>0</v>
      </c>
    </row>
    <row r="89" spans="5:41" s="5" customFormat="1" ht="15.75" x14ac:dyDescent="0.25">
      <c r="E89" s="15" t="s">
        <v>60</v>
      </c>
      <c r="F89" s="43"/>
      <c r="G89" s="43"/>
      <c r="H89" s="33">
        <f t="shared" si="86"/>
        <v>0</v>
      </c>
      <c r="I89" s="43">
        <f t="shared" si="74"/>
        <v>0</v>
      </c>
      <c r="J89" s="43"/>
      <c r="K89" s="33">
        <f t="shared" si="87"/>
        <v>0</v>
      </c>
      <c r="L89" s="43">
        <f t="shared" si="131"/>
        <v>0</v>
      </c>
      <c r="M89" s="43"/>
      <c r="N89" s="33">
        <f t="shared" si="89"/>
        <v>0</v>
      </c>
      <c r="O89" s="43">
        <f t="shared" si="132"/>
        <v>0</v>
      </c>
      <c r="P89" s="43"/>
      <c r="Q89" s="33">
        <f t="shared" si="91"/>
        <v>0</v>
      </c>
      <c r="R89" s="43">
        <f t="shared" si="133"/>
        <v>0</v>
      </c>
      <c r="S89" s="43"/>
      <c r="T89" s="33">
        <f t="shared" si="93"/>
        <v>0</v>
      </c>
      <c r="U89" s="43">
        <f t="shared" si="134"/>
        <v>0</v>
      </c>
      <c r="V89" s="43"/>
      <c r="W89" s="33">
        <f t="shared" si="95"/>
        <v>0</v>
      </c>
      <c r="X89" s="43">
        <f t="shared" si="135"/>
        <v>0</v>
      </c>
      <c r="Y89" s="43"/>
      <c r="Z89" s="33">
        <f t="shared" si="97"/>
        <v>0</v>
      </c>
      <c r="AA89" s="43">
        <f t="shared" si="136"/>
        <v>0</v>
      </c>
      <c r="AB89" s="43"/>
      <c r="AC89" s="33">
        <f t="shared" si="99"/>
        <v>0</v>
      </c>
      <c r="AD89" s="43">
        <f t="shared" si="137"/>
        <v>0</v>
      </c>
      <c r="AE89" s="43"/>
      <c r="AF89" s="33">
        <f t="shared" si="101"/>
        <v>0</v>
      </c>
      <c r="AG89" s="43">
        <f t="shared" si="138"/>
        <v>0</v>
      </c>
      <c r="AH89" s="43"/>
      <c r="AI89" s="33">
        <f t="shared" si="103"/>
        <v>0</v>
      </c>
      <c r="AJ89" s="43">
        <f t="shared" si="139"/>
        <v>0</v>
      </c>
      <c r="AK89" s="45"/>
      <c r="AL89" s="34">
        <f t="shared" si="105"/>
        <v>0</v>
      </c>
      <c r="AM89" s="43">
        <f t="shared" si="140"/>
        <v>0</v>
      </c>
      <c r="AN89" s="45"/>
      <c r="AO89" s="35">
        <f t="shared" si="107"/>
        <v>0</v>
      </c>
    </row>
    <row r="90" spans="5:41" s="5" customFormat="1" ht="15.75" hidden="1" outlineLevel="1" x14ac:dyDescent="0.25">
      <c r="E90" s="15"/>
      <c r="F90" s="43"/>
      <c r="G90" s="43"/>
      <c r="H90" s="33">
        <f t="shared" si="86"/>
        <v>0</v>
      </c>
      <c r="I90" s="43">
        <f t="shared" si="74"/>
        <v>0</v>
      </c>
      <c r="J90" s="43"/>
      <c r="K90" s="33">
        <f t="shared" si="87"/>
        <v>0</v>
      </c>
      <c r="L90" s="43">
        <f t="shared" si="131"/>
        <v>0</v>
      </c>
      <c r="M90" s="43"/>
      <c r="N90" s="33">
        <f t="shared" si="89"/>
        <v>0</v>
      </c>
      <c r="O90" s="43">
        <f t="shared" si="132"/>
        <v>0</v>
      </c>
      <c r="P90" s="43"/>
      <c r="Q90" s="33">
        <f t="shared" si="91"/>
        <v>0</v>
      </c>
      <c r="R90" s="43">
        <f t="shared" si="133"/>
        <v>0</v>
      </c>
      <c r="S90" s="43"/>
      <c r="T90" s="33">
        <f t="shared" si="93"/>
        <v>0</v>
      </c>
      <c r="U90" s="43">
        <f t="shared" si="134"/>
        <v>0</v>
      </c>
      <c r="V90" s="43"/>
      <c r="W90" s="33">
        <f t="shared" si="95"/>
        <v>0</v>
      </c>
      <c r="X90" s="43">
        <f t="shared" si="135"/>
        <v>0</v>
      </c>
      <c r="Y90" s="43"/>
      <c r="Z90" s="33">
        <f t="shared" si="97"/>
        <v>0</v>
      </c>
      <c r="AA90" s="43">
        <f t="shared" si="136"/>
        <v>0</v>
      </c>
      <c r="AB90" s="43"/>
      <c r="AC90" s="33">
        <f t="shared" si="99"/>
        <v>0</v>
      </c>
      <c r="AD90" s="43">
        <f t="shared" si="137"/>
        <v>0</v>
      </c>
      <c r="AE90" s="43"/>
      <c r="AF90" s="33">
        <f t="shared" si="101"/>
        <v>0</v>
      </c>
      <c r="AG90" s="43">
        <f t="shared" si="138"/>
        <v>0</v>
      </c>
      <c r="AH90" s="43"/>
      <c r="AI90" s="33">
        <f t="shared" si="103"/>
        <v>0</v>
      </c>
      <c r="AJ90" s="43">
        <f t="shared" si="139"/>
        <v>0</v>
      </c>
      <c r="AK90" s="45"/>
      <c r="AL90" s="34">
        <f t="shared" si="105"/>
        <v>0</v>
      </c>
      <c r="AM90" s="43">
        <f t="shared" si="140"/>
        <v>0</v>
      </c>
      <c r="AN90" s="45"/>
      <c r="AO90" s="35">
        <f t="shared" si="107"/>
        <v>0</v>
      </c>
    </row>
    <row r="91" spans="5:41" s="5" customFormat="1" ht="15.75" hidden="1" outlineLevel="1" x14ac:dyDescent="0.25">
      <c r="E91" s="15"/>
      <c r="F91" s="43"/>
      <c r="G91" s="43"/>
      <c r="H91" s="33">
        <f t="shared" si="86"/>
        <v>0</v>
      </c>
      <c r="I91" s="43">
        <f t="shared" si="74"/>
        <v>0</v>
      </c>
      <c r="J91" s="43"/>
      <c r="K91" s="33">
        <f t="shared" si="87"/>
        <v>0</v>
      </c>
      <c r="L91" s="43">
        <f t="shared" si="131"/>
        <v>0</v>
      </c>
      <c r="M91" s="43"/>
      <c r="N91" s="33">
        <f t="shared" si="89"/>
        <v>0</v>
      </c>
      <c r="O91" s="43">
        <f t="shared" si="132"/>
        <v>0</v>
      </c>
      <c r="P91" s="43"/>
      <c r="Q91" s="33">
        <f t="shared" si="91"/>
        <v>0</v>
      </c>
      <c r="R91" s="43">
        <f t="shared" si="133"/>
        <v>0</v>
      </c>
      <c r="S91" s="43"/>
      <c r="T91" s="33">
        <f t="shared" si="93"/>
        <v>0</v>
      </c>
      <c r="U91" s="43">
        <f t="shared" si="134"/>
        <v>0</v>
      </c>
      <c r="V91" s="43"/>
      <c r="W91" s="33">
        <f t="shared" si="95"/>
        <v>0</v>
      </c>
      <c r="X91" s="43">
        <f t="shared" si="135"/>
        <v>0</v>
      </c>
      <c r="Y91" s="43"/>
      <c r="Z91" s="33">
        <f t="shared" si="97"/>
        <v>0</v>
      </c>
      <c r="AA91" s="43">
        <f t="shared" si="136"/>
        <v>0</v>
      </c>
      <c r="AB91" s="43"/>
      <c r="AC91" s="33">
        <f t="shared" si="99"/>
        <v>0</v>
      </c>
      <c r="AD91" s="43">
        <f t="shared" si="137"/>
        <v>0</v>
      </c>
      <c r="AE91" s="43"/>
      <c r="AF91" s="33">
        <f t="shared" si="101"/>
        <v>0</v>
      </c>
      <c r="AG91" s="43">
        <f t="shared" si="138"/>
        <v>0</v>
      </c>
      <c r="AH91" s="43"/>
      <c r="AI91" s="33">
        <f t="shared" si="103"/>
        <v>0</v>
      </c>
      <c r="AJ91" s="43">
        <f t="shared" si="139"/>
        <v>0</v>
      </c>
      <c r="AK91" s="45"/>
      <c r="AL91" s="34">
        <f t="shared" si="105"/>
        <v>0</v>
      </c>
      <c r="AM91" s="43">
        <f t="shared" si="140"/>
        <v>0</v>
      </c>
      <c r="AN91" s="45"/>
      <c r="AO91" s="35">
        <f t="shared" si="107"/>
        <v>0</v>
      </c>
    </row>
    <row r="92" spans="5:41" s="5" customFormat="1" ht="15.75" hidden="1" outlineLevel="1" x14ac:dyDescent="0.25">
      <c r="E92" s="15"/>
      <c r="F92" s="43"/>
      <c r="G92" s="43"/>
      <c r="H92" s="33">
        <f t="shared" si="86"/>
        <v>0</v>
      </c>
      <c r="I92" s="43">
        <f t="shared" si="74"/>
        <v>0</v>
      </c>
      <c r="J92" s="43"/>
      <c r="K92" s="33">
        <f t="shared" si="87"/>
        <v>0</v>
      </c>
      <c r="L92" s="43">
        <f t="shared" si="131"/>
        <v>0</v>
      </c>
      <c r="M92" s="43"/>
      <c r="N92" s="33">
        <f t="shared" si="89"/>
        <v>0</v>
      </c>
      <c r="O92" s="43">
        <f t="shared" si="132"/>
        <v>0</v>
      </c>
      <c r="P92" s="43"/>
      <c r="Q92" s="33">
        <f t="shared" si="91"/>
        <v>0</v>
      </c>
      <c r="R92" s="43">
        <f t="shared" si="133"/>
        <v>0</v>
      </c>
      <c r="S92" s="43"/>
      <c r="T92" s="33">
        <f t="shared" si="93"/>
        <v>0</v>
      </c>
      <c r="U92" s="43">
        <f t="shared" si="134"/>
        <v>0</v>
      </c>
      <c r="V92" s="43"/>
      <c r="W92" s="33">
        <f t="shared" si="95"/>
        <v>0</v>
      </c>
      <c r="X92" s="43">
        <f t="shared" si="135"/>
        <v>0</v>
      </c>
      <c r="Y92" s="43"/>
      <c r="Z92" s="33">
        <f t="shared" si="97"/>
        <v>0</v>
      </c>
      <c r="AA92" s="43">
        <f t="shared" si="136"/>
        <v>0</v>
      </c>
      <c r="AB92" s="43"/>
      <c r="AC92" s="33">
        <f t="shared" si="99"/>
        <v>0</v>
      </c>
      <c r="AD92" s="43">
        <f t="shared" si="137"/>
        <v>0</v>
      </c>
      <c r="AE92" s="43"/>
      <c r="AF92" s="33">
        <f t="shared" si="101"/>
        <v>0</v>
      </c>
      <c r="AG92" s="43">
        <f t="shared" si="138"/>
        <v>0</v>
      </c>
      <c r="AH92" s="43"/>
      <c r="AI92" s="33">
        <f t="shared" si="103"/>
        <v>0</v>
      </c>
      <c r="AJ92" s="43">
        <f t="shared" si="139"/>
        <v>0</v>
      </c>
      <c r="AK92" s="45"/>
      <c r="AL92" s="34">
        <f t="shared" si="105"/>
        <v>0</v>
      </c>
      <c r="AM92" s="43">
        <f t="shared" si="140"/>
        <v>0</v>
      </c>
      <c r="AN92" s="45"/>
      <c r="AO92" s="35">
        <f t="shared" si="107"/>
        <v>0</v>
      </c>
    </row>
    <row r="93" spans="5:41" s="5" customFormat="1" ht="15.75" collapsed="1" x14ac:dyDescent="0.25">
      <c r="E93" s="16" t="s">
        <v>27</v>
      </c>
      <c r="F93" s="33">
        <f>SUM(F94:F94)</f>
        <v>0</v>
      </c>
      <c r="G93" s="33">
        <f t="shared" ref="G93:AO93" si="141">SUM(G94:G94)</f>
        <v>0</v>
      </c>
      <c r="H93" s="33">
        <f t="shared" si="141"/>
        <v>0</v>
      </c>
      <c r="I93" s="23">
        <f t="shared" si="141"/>
        <v>0</v>
      </c>
      <c r="J93" s="23">
        <f t="shared" si="141"/>
        <v>0</v>
      </c>
      <c r="K93" s="23">
        <f t="shared" si="141"/>
        <v>0</v>
      </c>
      <c r="L93" s="23">
        <f t="shared" si="141"/>
        <v>0</v>
      </c>
      <c r="M93" s="23">
        <f t="shared" si="141"/>
        <v>0</v>
      </c>
      <c r="N93" s="23">
        <f t="shared" si="141"/>
        <v>0</v>
      </c>
      <c r="O93" s="23">
        <f t="shared" si="141"/>
        <v>0</v>
      </c>
      <c r="P93" s="23">
        <f t="shared" si="141"/>
        <v>0</v>
      </c>
      <c r="Q93" s="23">
        <f t="shared" si="141"/>
        <v>0</v>
      </c>
      <c r="R93" s="23">
        <f t="shared" si="141"/>
        <v>0</v>
      </c>
      <c r="S93" s="23">
        <f t="shared" si="141"/>
        <v>0</v>
      </c>
      <c r="T93" s="23">
        <f t="shared" si="141"/>
        <v>0</v>
      </c>
      <c r="U93" s="23">
        <f t="shared" si="141"/>
        <v>0</v>
      </c>
      <c r="V93" s="23">
        <f t="shared" si="141"/>
        <v>0</v>
      </c>
      <c r="W93" s="23">
        <f t="shared" si="141"/>
        <v>0</v>
      </c>
      <c r="X93" s="23">
        <f t="shared" si="141"/>
        <v>0</v>
      </c>
      <c r="Y93" s="23">
        <f t="shared" si="141"/>
        <v>0</v>
      </c>
      <c r="Z93" s="23">
        <f t="shared" si="141"/>
        <v>0</v>
      </c>
      <c r="AA93" s="23">
        <f t="shared" si="141"/>
        <v>0</v>
      </c>
      <c r="AB93" s="23">
        <f t="shared" si="141"/>
        <v>0</v>
      </c>
      <c r="AC93" s="23">
        <f t="shared" si="141"/>
        <v>0</v>
      </c>
      <c r="AD93" s="23">
        <f t="shared" si="141"/>
        <v>0</v>
      </c>
      <c r="AE93" s="23">
        <f t="shared" si="141"/>
        <v>0</v>
      </c>
      <c r="AF93" s="23">
        <f t="shared" si="141"/>
        <v>0</v>
      </c>
      <c r="AG93" s="23">
        <f t="shared" si="141"/>
        <v>0</v>
      </c>
      <c r="AH93" s="23">
        <f t="shared" si="141"/>
        <v>0</v>
      </c>
      <c r="AI93" s="23">
        <f t="shared" si="141"/>
        <v>0</v>
      </c>
      <c r="AJ93" s="23">
        <f t="shared" si="141"/>
        <v>0</v>
      </c>
      <c r="AK93" s="30">
        <f t="shared" si="141"/>
        <v>0</v>
      </c>
      <c r="AL93" s="30">
        <f t="shared" si="141"/>
        <v>0</v>
      </c>
      <c r="AM93" s="23">
        <f t="shared" si="141"/>
        <v>0</v>
      </c>
      <c r="AN93" s="30">
        <f t="shared" si="141"/>
        <v>0</v>
      </c>
      <c r="AO93" s="24">
        <f t="shared" si="141"/>
        <v>0</v>
      </c>
    </row>
    <row r="94" spans="5:41" s="5" customFormat="1" ht="15.75" x14ac:dyDescent="0.25">
      <c r="E94" s="13" t="s">
        <v>28</v>
      </c>
      <c r="F94" s="43"/>
      <c r="G94" s="43"/>
      <c r="H94" s="23">
        <f t="shared" si="86"/>
        <v>0</v>
      </c>
      <c r="I94" s="43">
        <f t="shared" si="74"/>
        <v>0</v>
      </c>
      <c r="J94" s="43"/>
      <c r="K94" s="23">
        <f t="shared" si="87"/>
        <v>0</v>
      </c>
      <c r="L94" s="43">
        <f t="shared" ref="L94" si="142">$F94</f>
        <v>0</v>
      </c>
      <c r="M94" s="43"/>
      <c r="N94" s="23">
        <f t="shared" si="89"/>
        <v>0</v>
      </c>
      <c r="O94" s="43">
        <f t="shared" ref="O94" si="143">$F94</f>
        <v>0</v>
      </c>
      <c r="P94" s="43"/>
      <c r="Q94" s="23">
        <f t="shared" si="91"/>
        <v>0</v>
      </c>
      <c r="R94" s="43">
        <f t="shared" ref="R94" si="144">$F94</f>
        <v>0</v>
      </c>
      <c r="S94" s="43"/>
      <c r="T94" s="23">
        <f t="shared" si="93"/>
        <v>0</v>
      </c>
      <c r="U94" s="43">
        <f t="shared" ref="U94" si="145">$F94</f>
        <v>0</v>
      </c>
      <c r="V94" s="43"/>
      <c r="W94" s="23">
        <f t="shared" si="95"/>
        <v>0</v>
      </c>
      <c r="X94" s="43">
        <f t="shared" ref="X94" si="146">$F94</f>
        <v>0</v>
      </c>
      <c r="Y94" s="43"/>
      <c r="Z94" s="23">
        <f t="shared" si="97"/>
        <v>0</v>
      </c>
      <c r="AA94" s="43">
        <f t="shared" ref="AA94" si="147">$F94</f>
        <v>0</v>
      </c>
      <c r="AB94" s="43"/>
      <c r="AC94" s="23">
        <f t="shared" si="99"/>
        <v>0</v>
      </c>
      <c r="AD94" s="43">
        <f t="shared" ref="AD94" si="148">$F94</f>
        <v>0</v>
      </c>
      <c r="AE94" s="43"/>
      <c r="AF94" s="23">
        <f t="shared" si="101"/>
        <v>0</v>
      </c>
      <c r="AG94" s="43">
        <f t="shared" ref="AG94" si="149">$F94</f>
        <v>0</v>
      </c>
      <c r="AH94" s="43"/>
      <c r="AI94" s="23">
        <f t="shared" si="103"/>
        <v>0</v>
      </c>
      <c r="AJ94" s="43">
        <f t="shared" ref="AJ94" si="150">$F94</f>
        <v>0</v>
      </c>
      <c r="AK94" s="45"/>
      <c r="AL94" s="30">
        <f t="shared" si="105"/>
        <v>0</v>
      </c>
      <c r="AM94" s="43">
        <f t="shared" ref="AM94" si="151">$F94</f>
        <v>0</v>
      </c>
      <c r="AN94" s="45"/>
      <c r="AO94" s="24">
        <f t="shared" si="107"/>
        <v>0</v>
      </c>
    </row>
    <row r="95" spans="5:41" s="5" customFormat="1" ht="15.75" x14ac:dyDescent="0.25">
      <c r="E95" s="9" t="s">
        <v>43</v>
      </c>
      <c r="F95" s="27">
        <f t="shared" ref="F95:AO95" si="152">F29+F40+F51+F62+F71+F80+F87+F93</f>
        <v>0</v>
      </c>
      <c r="G95" s="27">
        <f t="shared" si="152"/>
        <v>0</v>
      </c>
      <c r="H95" s="27">
        <f t="shared" si="152"/>
        <v>0</v>
      </c>
      <c r="I95" s="27">
        <f t="shared" si="152"/>
        <v>0</v>
      </c>
      <c r="J95" s="27">
        <f t="shared" si="152"/>
        <v>0</v>
      </c>
      <c r="K95" s="27">
        <f t="shared" si="152"/>
        <v>0</v>
      </c>
      <c r="L95" s="27">
        <f t="shared" si="152"/>
        <v>0</v>
      </c>
      <c r="M95" s="27">
        <f t="shared" si="152"/>
        <v>0</v>
      </c>
      <c r="N95" s="27">
        <f t="shared" si="152"/>
        <v>0</v>
      </c>
      <c r="O95" s="27">
        <f t="shared" si="152"/>
        <v>0</v>
      </c>
      <c r="P95" s="27">
        <f t="shared" si="152"/>
        <v>0</v>
      </c>
      <c r="Q95" s="27">
        <f t="shared" si="152"/>
        <v>0</v>
      </c>
      <c r="R95" s="27">
        <f t="shared" si="152"/>
        <v>0</v>
      </c>
      <c r="S95" s="27">
        <f t="shared" si="152"/>
        <v>0</v>
      </c>
      <c r="T95" s="27">
        <f t="shared" si="152"/>
        <v>0</v>
      </c>
      <c r="U95" s="27">
        <f t="shared" si="152"/>
        <v>0</v>
      </c>
      <c r="V95" s="27">
        <f t="shared" si="152"/>
        <v>0</v>
      </c>
      <c r="W95" s="27">
        <f t="shared" si="152"/>
        <v>0</v>
      </c>
      <c r="X95" s="27">
        <f t="shared" si="152"/>
        <v>0</v>
      </c>
      <c r="Y95" s="27">
        <f t="shared" si="152"/>
        <v>0</v>
      </c>
      <c r="Z95" s="27">
        <f t="shared" si="152"/>
        <v>0</v>
      </c>
      <c r="AA95" s="27">
        <f t="shared" si="152"/>
        <v>0</v>
      </c>
      <c r="AB95" s="27">
        <f t="shared" si="152"/>
        <v>0</v>
      </c>
      <c r="AC95" s="27">
        <f t="shared" si="152"/>
        <v>0</v>
      </c>
      <c r="AD95" s="27">
        <f t="shared" si="152"/>
        <v>0</v>
      </c>
      <c r="AE95" s="27">
        <f t="shared" si="152"/>
        <v>0</v>
      </c>
      <c r="AF95" s="27">
        <f t="shared" si="152"/>
        <v>0</v>
      </c>
      <c r="AG95" s="27">
        <f t="shared" si="152"/>
        <v>0</v>
      </c>
      <c r="AH95" s="27">
        <f t="shared" si="152"/>
        <v>0</v>
      </c>
      <c r="AI95" s="27">
        <f t="shared" si="152"/>
        <v>0</v>
      </c>
      <c r="AJ95" s="27">
        <f t="shared" si="152"/>
        <v>0</v>
      </c>
      <c r="AK95" s="31">
        <f t="shared" si="152"/>
        <v>0</v>
      </c>
      <c r="AL95" s="31">
        <f t="shared" si="152"/>
        <v>0</v>
      </c>
      <c r="AM95" s="27">
        <f t="shared" si="152"/>
        <v>0</v>
      </c>
      <c r="AN95" s="31">
        <f t="shared" si="152"/>
        <v>0</v>
      </c>
      <c r="AO95" s="28">
        <f t="shared" si="152"/>
        <v>0</v>
      </c>
    </row>
    <row r="96" spans="5:41" s="11" customFormat="1" ht="7.5" customHeight="1" x14ac:dyDescent="0.25">
      <c r="E96" s="17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  <c r="AB96" s="18"/>
      <c r="AC96" s="18"/>
      <c r="AD96" s="18"/>
      <c r="AE96" s="18"/>
      <c r="AF96" s="18"/>
      <c r="AG96" s="18"/>
      <c r="AH96" s="18"/>
      <c r="AI96" s="18"/>
      <c r="AJ96" s="18"/>
      <c r="AK96" s="18"/>
      <c r="AL96" s="18"/>
      <c r="AM96" s="18"/>
      <c r="AN96" s="18"/>
      <c r="AO96" s="18"/>
    </row>
    <row r="97" spans="5:41" s="5" customFormat="1" ht="15.75" x14ac:dyDescent="0.25">
      <c r="E97" s="190" t="s">
        <v>46</v>
      </c>
      <c r="F97" s="191">
        <f t="shared" ref="F97:AO97" si="153">F22-F26-F95</f>
        <v>0</v>
      </c>
      <c r="G97" s="191">
        <f t="shared" si="153"/>
        <v>0</v>
      </c>
      <c r="H97" s="191">
        <f t="shared" si="153"/>
        <v>0</v>
      </c>
      <c r="I97" s="191">
        <f t="shared" si="153"/>
        <v>0</v>
      </c>
      <c r="J97" s="191">
        <f t="shared" si="153"/>
        <v>0</v>
      </c>
      <c r="K97" s="191">
        <f t="shared" si="153"/>
        <v>0</v>
      </c>
      <c r="L97" s="191">
        <f t="shared" si="153"/>
        <v>0</v>
      </c>
      <c r="M97" s="191">
        <f t="shared" si="153"/>
        <v>0</v>
      </c>
      <c r="N97" s="191">
        <f t="shared" si="153"/>
        <v>0</v>
      </c>
      <c r="O97" s="191">
        <f t="shared" si="153"/>
        <v>0</v>
      </c>
      <c r="P97" s="191">
        <f t="shared" si="153"/>
        <v>0</v>
      </c>
      <c r="Q97" s="191">
        <f t="shared" si="153"/>
        <v>0</v>
      </c>
      <c r="R97" s="191">
        <f t="shared" si="153"/>
        <v>0</v>
      </c>
      <c r="S97" s="191">
        <f t="shared" si="153"/>
        <v>0</v>
      </c>
      <c r="T97" s="191">
        <f t="shared" si="153"/>
        <v>0</v>
      </c>
      <c r="U97" s="191">
        <f t="shared" si="153"/>
        <v>0</v>
      </c>
      <c r="V97" s="191">
        <f t="shared" si="153"/>
        <v>0</v>
      </c>
      <c r="W97" s="191">
        <f t="shared" si="153"/>
        <v>0</v>
      </c>
      <c r="X97" s="191">
        <f t="shared" si="153"/>
        <v>0</v>
      </c>
      <c r="Y97" s="191">
        <f t="shared" si="153"/>
        <v>0</v>
      </c>
      <c r="Z97" s="191">
        <f t="shared" si="153"/>
        <v>0</v>
      </c>
      <c r="AA97" s="191">
        <f t="shared" si="153"/>
        <v>0</v>
      </c>
      <c r="AB97" s="191">
        <f t="shared" si="153"/>
        <v>0</v>
      </c>
      <c r="AC97" s="191">
        <f t="shared" si="153"/>
        <v>0</v>
      </c>
      <c r="AD97" s="191">
        <f t="shared" si="153"/>
        <v>0</v>
      </c>
      <c r="AE97" s="191">
        <f t="shared" si="153"/>
        <v>0</v>
      </c>
      <c r="AF97" s="191">
        <f t="shared" si="153"/>
        <v>0</v>
      </c>
      <c r="AG97" s="191">
        <f t="shared" si="153"/>
        <v>0</v>
      </c>
      <c r="AH97" s="191">
        <f t="shared" si="153"/>
        <v>0</v>
      </c>
      <c r="AI97" s="191">
        <f t="shared" si="153"/>
        <v>0</v>
      </c>
      <c r="AJ97" s="191">
        <f t="shared" si="153"/>
        <v>0</v>
      </c>
      <c r="AK97" s="192">
        <f t="shared" si="153"/>
        <v>0</v>
      </c>
      <c r="AL97" s="192">
        <f t="shared" si="153"/>
        <v>0</v>
      </c>
      <c r="AM97" s="191">
        <f t="shared" si="153"/>
        <v>0</v>
      </c>
      <c r="AN97" s="192">
        <f t="shared" si="153"/>
        <v>0</v>
      </c>
      <c r="AO97" s="193">
        <f t="shared" si="153"/>
        <v>0</v>
      </c>
    </row>
    <row r="98" spans="5:41" ht="7.5" customHeight="1" x14ac:dyDescent="0.25"/>
    <row r="99" spans="5:41" s="5" customFormat="1" ht="15.75" x14ac:dyDescent="0.25">
      <c r="E99" s="190" t="s">
        <v>57</v>
      </c>
      <c r="F99" s="191">
        <f>F97</f>
        <v>0</v>
      </c>
      <c r="G99" s="191">
        <f>G97</f>
        <v>0</v>
      </c>
      <c r="H99" s="191">
        <f>H97</f>
        <v>0</v>
      </c>
      <c r="I99" s="191">
        <f>F99+I97</f>
        <v>0</v>
      </c>
      <c r="J99" s="191">
        <f>G99+J97</f>
        <v>0</v>
      </c>
      <c r="K99" s="191">
        <f>H99+K97</f>
        <v>0</v>
      </c>
      <c r="L99" s="191">
        <f t="shared" ref="L99:AO99" si="154">I99+L97</f>
        <v>0</v>
      </c>
      <c r="M99" s="191">
        <f t="shared" si="154"/>
        <v>0</v>
      </c>
      <c r="N99" s="191">
        <f t="shared" si="154"/>
        <v>0</v>
      </c>
      <c r="O99" s="191">
        <f t="shared" si="154"/>
        <v>0</v>
      </c>
      <c r="P99" s="191">
        <f t="shared" si="154"/>
        <v>0</v>
      </c>
      <c r="Q99" s="191">
        <f t="shared" si="154"/>
        <v>0</v>
      </c>
      <c r="R99" s="191">
        <f t="shared" si="154"/>
        <v>0</v>
      </c>
      <c r="S99" s="191">
        <f t="shared" si="154"/>
        <v>0</v>
      </c>
      <c r="T99" s="191">
        <f t="shared" si="154"/>
        <v>0</v>
      </c>
      <c r="U99" s="191">
        <f t="shared" si="154"/>
        <v>0</v>
      </c>
      <c r="V99" s="191">
        <f t="shared" si="154"/>
        <v>0</v>
      </c>
      <c r="W99" s="191">
        <f t="shared" si="154"/>
        <v>0</v>
      </c>
      <c r="X99" s="191">
        <f t="shared" si="154"/>
        <v>0</v>
      </c>
      <c r="Y99" s="191">
        <f t="shared" si="154"/>
        <v>0</v>
      </c>
      <c r="Z99" s="191">
        <f t="shared" si="154"/>
        <v>0</v>
      </c>
      <c r="AA99" s="191">
        <f t="shared" si="154"/>
        <v>0</v>
      </c>
      <c r="AB99" s="191">
        <f t="shared" si="154"/>
        <v>0</v>
      </c>
      <c r="AC99" s="191">
        <f t="shared" si="154"/>
        <v>0</v>
      </c>
      <c r="AD99" s="191">
        <f t="shared" si="154"/>
        <v>0</v>
      </c>
      <c r="AE99" s="191">
        <f t="shared" si="154"/>
        <v>0</v>
      </c>
      <c r="AF99" s="191">
        <f t="shared" si="154"/>
        <v>0</v>
      </c>
      <c r="AG99" s="191">
        <f t="shared" si="154"/>
        <v>0</v>
      </c>
      <c r="AH99" s="191">
        <f t="shared" si="154"/>
        <v>0</v>
      </c>
      <c r="AI99" s="191">
        <f t="shared" si="154"/>
        <v>0</v>
      </c>
      <c r="AJ99" s="191">
        <f t="shared" si="154"/>
        <v>0</v>
      </c>
      <c r="AK99" s="192">
        <f t="shared" si="154"/>
        <v>0</v>
      </c>
      <c r="AL99" s="192">
        <f t="shared" si="154"/>
        <v>0</v>
      </c>
      <c r="AM99" s="191">
        <f t="shared" si="154"/>
        <v>0</v>
      </c>
      <c r="AN99" s="192">
        <f t="shared" si="154"/>
        <v>0</v>
      </c>
      <c r="AO99" s="193">
        <f t="shared" si="154"/>
        <v>0</v>
      </c>
    </row>
    <row r="100" spans="5:41" x14ac:dyDescent="0.25">
      <c r="F100" s="46"/>
    </row>
  </sheetData>
  <sheetProtection selectLockedCells="1" selectUnlockedCells="1"/>
  <mergeCells count="4">
    <mergeCell ref="AQ7:AS7"/>
    <mergeCell ref="AQ11:AS11"/>
    <mergeCell ref="AQ12:AS12"/>
    <mergeCell ref="E1:P3"/>
  </mergeCells>
  <pageMargins left="0.51181102362204722" right="0.51181102362204722" top="0.78740157480314965" bottom="0.78740157480314965" header="0.31496062992125984" footer="0.31496062992125984"/>
  <pageSetup paperSize="9" scale="35" orientation="portrait" r:id="rId1"/>
  <headerFooter>
    <oddFooter>&amp;C&amp;"calibri,Regular"&amp;10Classificação da Informação: &amp;"calibri,Bold"Uso Irrestrito_x000D_&amp;1#&amp;"Calibri"&amp;10 Classificação da informação: Uso Interno</oddFooter>
    <evenFooter>&amp;C&amp;"calibri,Regular"&amp;10Classificação da Informação: &amp;"calibri,Bold"Uso Irrestrito</evenFooter>
    <firstFooter>&amp;C&amp;"calibri,Regular"&amp;10Classificação da Informação: &amp;"calibri,Bold"Uso Irrestrito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rcado">
                <anchor moveWithCells="1" sizeWithCells="1">
                  <from>
                    <xdr:col>4</xdr:col>
                    <xdr:colOff>95250</xdr:colOff>
                    <xdr:row>11</xdr:row>
                    <xdr:rowOff>38100</xdr:rowOff>
                  </from>
                  <to>
                    <xdr:col>4</xdr:col>
                    <xdr:colOff>904875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realizado">
                <anchor moveWithCells="1" sizeWithCells="1">
                  <from>
                    <xdr:col>4</xdr:col>
                    <xdr:colOff>1200150</xdr:colOff>
                    <xdr:row>11</xdr:row>
                    <xdr:rowOff>38100</xdr:rowOff>
                  </from>
                  <to>
                    <xdr:col>4</xdr:col>
                    <xdr:colOff>2009775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tudo">
                <anchor moveWithCells="1" sizeWithCells="1">
                  <from>
                    <xdr:col>4</xdr:col>
                    <xdr:colOff>2295525</xdr:colOff>
                    <xdr:row>11</xdr:row>
                    <xdr:rowOff>38100</xdr:rowOff>
                  </from>
                  <to>
                    <xdr:col>4</xdr:col>
                    <xdr:colOff>2962275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pageSetUpPr fitToPage="1"/>
  </sheetPr>
  <dimension ref="B1:AQ99"/>
  <sheetViews>
    <sheetView showGridLines="0" topLeftCell="A26" zoomScale="80" zoomScaleNormal="80" workbookViewId="0">
      <selection activeCell="D109" sqref="D109"/>
    </sheetView>
  </sheetViews>
  <sheetFormatPr defaultRowHeight="15" outlineLevelRow="1" x14ac:dyDescent="0.25"/>
  <cols>
    <col min="1" max="1" width="1.5703125" style="103" customWidth="1"/>
    <col min="2" max="2" width="46.5703125" style="103" customWidth="1"/>
    <col min="3" max="38" width="13.5703125" style="103" customWidth="1"/>
    <col min="39" max="39" width="1.5703125" style="103" customWidth="1"/>
    <col min="40" max="41" width="9.140625" style="103"/>
    <col min="42" max="42" width="16.140625" style="103" customWidth="1"/>
    <col min="43" max="43" width="9.140625" style="103"/>
    <col min="44" max="44" width="8.28515625" style="103" bestFit="1" customWidth="1"/>
    <col min="45" max="16384" width="9.140625" style="103"/>
  </cols>
  <sheetData>
    <row r="1" spans="2:43" x14ac:dyDescent="0.25">
      <c r="B1" s="262" t="s">
        <v>72</v>
      </c>
      <c r="C1" s="262"/>
      <c r="D1" s="262"/>
      <c r="E1" s="262"/>
      <c r="F1" s="262"/>
      <c r="G1" s="262"/>
      <c r="H1" s="262"/>
      <c r="I1" s="262"/>
      <c r="J1" s="262"/>
      <c r="K1" s="262"/>
    </row>
    <row r="2" spans="2:43" x14ac:dyDescent="0.25">
      <c r="B2" s="262"/>
      <c r="C2" s="262"/>
      <c r="D2" s="262"/>
      <c r="E2" s="262"/>
      <c r="F2" s="262"/>
      <c r="G2" s="262"/>
      <c r="H2" s="262"/>
      <c r="I2" s="262"/>
      <c r="J2" s="262"/>
      <c r="K2" s="262"/>
    </row>
    <row r="3" spans="2:43" ht="12" customHeight="1" thickBot="1" x14ac:dyDescent="0.3">
      <c r="B3" s="262"/>
      <c r="C3" s="262"/>
      <c r="D3" s="262"/>
      <c r="E3" s="262"/>
      <c r="F3" s="262"/>
      <c r="G3" s="262"/>
      <c r="H3" s="262"/>
      <c r="I3" s="262"/>
      <c r="J3" s="262"/>
      <c r="K3" s="26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</row>
    <row r="4" spans="2:43" ht="20.25" customHeight="1" x14ac:dyDescent="0.25">
      <c r="B4" s="194" t="s">
        <v>33</v>
      </c>
      <c r="C4" s="263"/>
      <c r="D4" s="264"/>
      <c r="E4" s="265"/>
      <c r="F4" s="91"/>
      <c r="G4" s="91"/>
      <c r="H4" s="104"/>
      <c r="I4" s="105"/>
      <c r="J4" s="105"/>
      <c r="K4" s="104"/>
      <c r="L4" s="104"/>
      <c r="M4" s="106"/>
      <c r="N4" s="107"/>
      <c r="P4" s="108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</row>
    <row r="5" spans="2:43" ht="20.25" customHeight="1" x14ac:dyDescent="0.25">
      <c r="B5" s="195" t="s">
        <v>34</v>
      </c>
      <c r="C5" s="266"/>
      <c r="D5" s="267"/>
      <c r="E5" s="268"/>
      <c r="F5" s="91"/>
      <c r="G5" s="91"/>
      <c r="H5" s="104"/>
      <c r="I5" s="105"/>
      <c r="J5" s="105"/>
      <c r="K5" s="104"/>
      <c r="L5" s="104"/>
      <c r="M5" s="110"/>
      <c r="N5" s="111"/>
      <c r="P5" s="108"/>
      <c r="Q5" s="102"/>
      <c r="R5" s="102"/>
      <c r="S5" s="102"/>
      <c r="T5" s="102"/>
      <c r="U5" s="102"/>
      <c r="V5" s="102"/>
      <c r="W5" s="102"/>
      <c r="X5" s="102"/>
      <c r="Y5" s="102"/>
      <c r="Z5" s="102"/>
      <c r="AA5" s="102"/>
      <c r="AB5" s="102"/>
      <c r="AC5" s="102"/>
      <c r="AD5" s="102"/>
      <c r="AE5" s="102"/>
      <c r="AF5" s="102"/>
      <c r="AG5" s="102"/>
      <c r="AH5" s="102"/>
      <c r="AI5" s="102"/>
      <c r="AJ5" s="102"/>
      <c r="AK5" s="102"/>
      <c r="AL5" s="102"/>
    </row>
    <row r="6" spans="2:43" ht="21" customHeight="1" x14ac:dyDescent="0.3">
      <c r="B6" s="195" t="s">
        <v>44</v>
      </c>
      <c r="C6" s="254">
        <v>42856</v>
      </c>
      <c r="D6" s="88"/>
      <c r="E6" s="109"/>
      <c r="F6" s="92"/>
      <c r="G6" s="92"/>
      <c r="H6" s="112"/>
      <c r="I6" s="105"/>
      <c r="J6" s="105"/>
      <c r="K6" s="113"/>
      <c r="L6" s="104"/>
      <c r="M6" s="114"/>
      <c r="N6" s="115"/>
      <c r="P6" s="116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N6" s="260"/>
      <c r="AO6" s="260"/>
      <c r="AP6" s="260"/>
      <c r="AQ6" s="117"/>
    </row>
    <row r="7" spans="2:43" s="118" customFormat="1" ht="21" customHeight="1" x14ac:dyDescent="0.3">
      <c r="B7" s="195" t="s">
        <v>55</v>
      </c>
      <c r="C7" s="255"/>
      <c r="D7" s="89"/>
      <c r="E7" s="109"/>
      <c r="F7" s="93"/>
      <c r="G7" s="93"/>
      <c r="H7" s="112"/>
      <c r="I7" s="105"/>
      <c r="J7" s="105"/>
      <c r="K7" s="113"/>
      <c r="L7" s="104"/>
      <c r="M7" s="114"/>
      <c r="N7" s="114"/>
      <c r="P7" s="119"/>
      <c r="AN7" s="120"/>
      <c r="AO7" s="120"/>
      <c r="AP7" s="120"/>
      <c r="AQ7" s="117"/>
    </row>
    <row r="8" spans="2:43" s="118" customFormat="1" ht="21" customHeight="1" thickBot="1" x14ac:dyDescent="0.35">
      <c r="B8" s="196" t="s">
        <v>56</v>
      </c>
      <c r="C8" s="256"/>
      <c r="D8" s="90"/>
      <c r="E8" s="121"/>
      <c r="F8" s="94"/>
      <c r="G8" s="94"/>
      <c r="H8" s="112"/>
      <c r="I8" s="114"/>
      <c r="J8" s="114"/>
      <c r="K8" s="113"/>
      <c r="L8" s="122"/>
      <c r="M8" s="114"/>
      <c r="N8" s="114"/>
      <c r="O8" s="123"/>
      <c r="P8" s="119"/>
      <c r="R8" s="123"/>
      <c r="U8" s="123"/>
      <c r="X8" s="123"/>
      <c r="AA8" s="123"/>
      <c r="AD8" s="123"/>
      <c r="AG8" s="123"/>
      <c r="AJ8" s="123"/>
      <c r="AN8" s="120"/>
      <c r="AO8" s="120"/>
      <c r="AP8" s="120"/>
      <c r="AQ8" s="117"/>
    </row>
    <row r="9" spans="2:43" s="118" customFormat="1" ht="6" customHeight="1" x14ac:dyDescent="0.3">
      <c r="B9" s="124"/>
      <c r="C9" s="125"/>
      <c r="D9" s="114"/>
      <c r="E9" s="114"/>
      <c r="F9" s="114"/>
      <c r="G9" s="124"/>
      <c r="H9" s="112"/>
      <c r="I9" s="112"/>
      <c r="J9" s="114"/>
      <c r="K9" s="113"/>
      <c r="M9" s="114"/>
      <c r="N9" s="114"/>
      <c r="P9" s="119"/>
      <c r="AN9" s="120"/>
      <c r="AO9" s="120"/>
      <c r="AP9" s="120"/>
      <c r="AQ9" s="117"/>
    </row>
    <row r="10" spans="2:43" ht="6" customHeight="1" x14ac:dyDescent="0.3">
      <c r="B10" s="126"/>
      <c r="C10" s="127"/>
      <c r="D10" s="127"/>
      <c r="E10" s="127"/>
      <c r="F10" s="128"/>
      <c r="G10" s="128"/>
      <c r="H10" s="128"/>
      <c r="I10" s="128"/>
      <c r="J10" s="128"/>
      <c r="K10" s="128"/>
      <c r="L10" s="128"/>
      <c r="M10" s="128"/>
      <c r="N10" s="128"/>
      <c r="O10" s="102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  <c r="AA10" s="102"/>
      <c r="AB10" s="102"/>
      <c r="AC10" s="102"/>
      <c r="AD10" s="102"/>
      <c r="AE10" s="102"/>
      <c r="AF10" s="102"/>
      <c r="AG10" s="102"/>
      <c r="AH10" s="102"/>
      <c r="AI10" s="102"/>
      <c r="AJ10" s="102"/>
      <c r="AK10" s="102"/>
      <c r="AL10" s="102"/>
      <c r="AN10" s="260"/>
      <c r="AO10" s="260"/>
      <c r="AP10" s="260"/>
      <c r="AQ10" s="129"/>
    </row>
    <row r="11" spans="2:43" s="130" customFormat="1" ht="15.75" x14ac:dyDescent="0.25">
      <c r="B11" s="214"/>
      <c r="C11" s="200">
        <f>DATE(YEAR(C6),MONTH(C6)+1,1)-1</f>
        <v>42886</v>
      </c>
      <c r="D11" s="201">
        <f>C11</f>
        <v>42886</v>
      </c>
      <c r="E11" s="202"/>
      <c r="F11" s="203">
        <f>DATE(YEAR(C11),MONTH(C11)+2,1)-1</f>
        <v>42916</v>
      </c>
      <c r="G11" s="201">
        <f>F11</f>
        <v>42916</v>
      </c>
      <c r="H11" s="204"/>
      <c r="I11" s="203">
        <f>DATE(YEAR(F11),MONTH(F11)+2,1)-1</f>
        <v>42947</v>
      </c>
      <c r="J11" s="201">
        <f>I11</f>
        <v>42947</v>
      </c>
      <c r="K11" s="205"/>
      <c r="L11" s="203">
        <f>DATE(YEAR(I11),MONTH(I11)+2,1)-1</f>
        <v>42978</v>
      </c>
      <c r="M11" s="201">
        <f>L11</f>
        <v>42978</v>
      </c>
      <c r="N11" s="205"/>
      <c r="O11" s="203">
        <f>DATE(YEAR(L11),MONTH(L11)+2,1)-1</f>
        <v>43008</v>
      </c>
      <c r="P11" s="201">
        <f>O11</f>
        <v>43008</v>
      </c>
      <c r="Q11" s="205"/>
      <c r="R11" s="203">
        <f>DATE(YEAR(O11),MONTH(O11)+2,1)-1</f>
        <v>43039</v>
      </c>
      <c r="S11" s="201">
        <f>R11</f>
        <v>43039</v>
      </c>
      <c r="T11" s="205"/>
      <c r="U11" s="203">
        <f>DATE(YEAR(R11),MONTH(R11)+2,1)-1</f>
        <v>43069</v>
      </c>
      <c r="V11" s="201">
        <f>U11</f>
        <v>43069</v>
      </c>
      <c r="W11" s="205"/>
      <c r="X11" s="203">
        <f>DATE(YEAR(U11),MONTH(U11)+2,1)-1</f>
        <v>43100</v>
      </c>
      <c r="Y11" s="201">
        <f>X11</f>
        <v>43100</v>
      </c>
      <c r="Z11" s="205"/>
      <c r="AA11" s="203">
        <f>DATE(YEAR(X11),MONTH(X11)+2,1)-1</f>
        <v>43131</v>
      </c>
      <c r="AB11" s="201">
        <f>AA11</f>
        <v>43131</v>
      </c>
      <c r="AC11" s="205"/>
      <c r="AD11" s="203">
        <f>DATE(YEAR(AA11),MONTH(AA11)+2,1)-1</f>
        <v>43159</v>
      </c>
      <c r="AE11" s="201">
        <f>AD11</f>
        <v>43159</v>
      </c>
      <c r="AF11" s="205"/>
      <c r="AG11" s="203">
        <f>DATE(YEAR(AD11),MONTH(AD11)+2,1)-1</f>
        <v>43190</v>
      </c>
      <c r="AH11" s="201">
        <f>AG11</f>
        <v>43190</v>
      </c>
      <c r="AI11" s="205"/>
      <c r="AJ11" s="203">
        <f t="shared" ref="AJ11" si="0">DATE(YEAR(AG11),MONTH(AG11)+2,1)-1</f>
        <v>43220</v>
      </c>
      <c r="AK11" s="201">
        <f>AJ11</f>
        <v>43220</v>
      </c>
      <c r="AL11" s="206"/>
      <c r="AN11" s="261"/>
      <c r="AO11" s="261"/>
      <c r="AP11" s="261"/>
      <c r="AQ11" s="131"/>
    </row>
    <row r="12" spans="2:43" s="130" customFormat="1" ht="3.75" customHeight="1" x14ac:dyDescent="0.25">
      <c r="B12" s="215"/>
      <c r="C12" s="207"/>
      <c r="D12" s="208"/>
      <c r="E12" s="209"/>
      <c r="F12" s="210"/>
      <c r="G12" s="211"/>
      <c r="H12" s="212"/>
      <c r="I12" s="210"/>
      <c r="J12" s="211"/>
      <c r="K12" s="212"/>
      <c r="L12" s="210"/>
      <c r="M12" s="211"/>
      <c r="N12" s="212"/>
      <c r="O12" s="210"/>
      <c r="P12" s="211"/>
      <c r="Q12" s="212"/>
      <c r="R12" s="210"/>
      <c r="S12" s="211"/>
      <c r="T12" s="212"/>
      <c r="U12" s="210"/>
      <c r="V12" s="211"/>
      <c r="W12" s="212"/>
      <c r="X12" s="210"/>
      <c r="Y12" s="211"/>
      <c r="Z12" s="212"/>
      <c r="AA12" s="210"/>
      <c r="AB12" s="211"/>
      <c r="AC12" s="212"/>
      <c r="AD12" s="210"/>
      <c r="AE12" s="211"/>
      <c r="AF12" s="212"/>
      <c r="AG12" s="210"/>
      <c r="AH12" s="211"/>
      <c r="AI12" s="212"/>
      <c r="AJ12" s="210"/>
      <c r="AK12" s="211"/>
      <c r="AL12" s="213"/>
      <c r="AN12" s="132"/>
      <c r="AO12" s="132"/>
      <c r="AP12" s="132"/>
      <c r="AQ12" s="131"/>
    </row>
    <row r="13" spans="2:43" s="130" customFormat="1" ht="15.75" customHeight="1" x14ac:dyDescent="0.3">
      <c r="B13" s="233" t="s">
        <v>42</v>
      </c>
      <c r="C13" s="234" t="s">
        <v>49</v>
      </c>
      <c r="D13" s="234" t="s">
        <v>50</v>
      </c>
      <c r="E13" s="234" t="s">
        <v>51</v>
      </c>
      <c r="F13" s="234" t="s">
        <v>49</v>
      </c>
      <c r="G13" s="234" t="s">
        <v>50</v>
      </c>
      <c r="H13" s="234" t="s">
        <v>51</v>
      </c>
      <c r="I13" s="234" t="s">
        <v>49</v>
      </c>
      <c r="J13" s="234" t="s">
        <v>50</v>
      </c>
      <c r="K13" s="234" t="s">
        <v>51</v>
      </c>
      <c r="L13" s="234" t="s">
        <v>49</v>
      </c>
      <c r="M13" s="234" t="s">
        <v>50</v>
      </c>
      <c r="N13" s="234" t="s">
        <v>51</v>
      </c>
      <c r="O13" s="234" t="s">
        <v>49</v>
      </c>
      <c r="P13" s="234" t="s">
        <v>50</v>
      </c>
      <c r="Q13" s="234" t="s">
        <v>51</v>
      </c>
      <c r="R13" s="234" t="s">
        <v>49</v>
      </c>
      <c r="S13" s="234" t="s">
        <v>50</v>
      </c>
      <c r="T13" s="234" t="s">
        <v>51</v>
      </c>
      <c r="U13" s="234" t="s">
        <v>49</v>
      </c>
      <c r="V13" s="234" t="s">
        <v>50</v>
      </c>
      <c r="W13" s="234" t="s">
        <v>51</v>
      </c>
      <c r="X13" s="234" t="s">
        <v>49</v>
      </c>
      <c r="Y13" s="234" t="s">
        <v>50</v>
      </c>
      <c r="Z13" s="234" t="s">
        <v>51</v>
      </c>
      <c r="AA13" s="234" t="s">
        <v>49</v>
      </c>
      <c r="AB13" s="234" t="s">
        <v>50</v>
      </c>
      <c r="AC13" s="234" t="s">
        <v>51</v>
      </c>
      <c r="AD13" s="234" t="s">
        <v>49</v>
      </c>
      <c r="AE13" s="234" t="s">
        <v>50</v>
      </c>
      <c r="AF13" s="234" t="s">
        <v>51</v>
      </c>
      <c r="AG13" s="234" t="s">
        <v>49</v>
      </c>
      <c r="AH13" s="234" t="s">
        <v>50</v>
      </c>
      <c r="AI13" s="234" t="s">
        <v>51</v>
      </c>
      <c r="AJ13" s="234" t="s">
        <v>49</v>
      </c>
      <c r="AK13" s="234" t="s">
        <v>50</v>
      </c>
      <c r="AL13" s="235" t="s">
        <v>51</v>
      </c>
      <c r="AN13" s="120"/>
      <c r="AO13" s="120"/>
      <c r="AP13" s="120"/>
      <c r="AQ13" s="117"/>
    </row>
    <row r="14" spans="2:43" s="130" customFormat="1" ht="15.75" customHeight="1" x14ac:dyDescent="0.3">
      <c r="B14" s="133" t="s">
        <v>30</v>
      </c>
      <c r="C14" s="82"/>
      <c r="D14" s="82"/>
      <c r="E14" s="134">
        <f>D14-C14</f>
        <v>0</v>
      </c>
      <c r="F14" s="82"/>
      <c r="G14" s="82"/>
      <c r="H14" s="134">
        <f>G14-F14</f>
        <v>0</v>
      </c>
      <c r="I14" s="82"/>
      <c r="J14" s="82"/>
      <c r="K14" s="134">
        <f>J14-I14</f>
        <v>0</v>
      </c>
      <c r="L14" s="82"/>
      <c r="M14" s="82"/>
      <c r="N14" s="134">
        <f>M14-L14</f>
        <v>0</v>
      </c>
      <c r="O14" s="82"/>
      <c r="P14" s="82"/>
      <c r="Q14" s="134">
        <f>P14-O14</f>
        <v>0</v>
      </c>
      <c r="R14" s="82"/>
      <c r="S14" s="82"/>
      <c r="T14" s="134">
        <f>S14-R14</f>
        <v>0</v>
      </c>
      <c r="U14" s="82"/>
      <c r="V14" s="82"/>
      <c r="W14" s="134">
        <f>V14-U14</f>
        <v>0</v>
      </c>
      <c r="X14" s="82"/>
      <c r="Y14" s="82"/>
      <c r="Z14" s="134">
        <f>Y14-X14</f>
        <v>0</v>
      </c>
      <c r="AA14" s="82"/>
      <c r="AB14" s="82"/>
      <c r="AC14" s="134">
        <f>AB14-AA14</f>
        <v>0</v>
      </c>
      <c r="AD14" s="82"/>
      <c r="AE14" s="82"/>
      <c r="AF14" s="134">
        <f>AE14-AD14</f>
        <v>0</v>
      </c>
      <c r="AG14" s="82"/>
      <c r="AH14" s="82"/>
      <c r="AI14" s="134">
        <f>AH14-AG14</f>
        <v>0</v>
      </c>
      <c r="AJ14" s="82"/>
      <c r="AK14" s="82"/>
      <c r="AL14" s="135">
        <f>AK14-AJ14</f>
        <v>0</v>
      </c>
      <c r="AN14" s="120"/>
      <c r="AO14" s="120"/>
      <c r="AP14" s="120"/>
      <c r="AQ14" s="117"/>
    </row>
    <row r="15" spans="2:43" s="130" customFormat="1" ht="15.75" x14ac:dyDescent="0.25">
      <c r="B15" s="136" t="s">
        <v>31</v>
      </c>
      <c r="C15" s="83"/>
      <c r="D15" s="83"/>
      <c r="E15" s="134">
        <f t="shared" ref="E15:E20" si="1">D15-C15</f>
        <v>0</v>
      </c>
      <c r="F15" s="83"/>
      <c r="G15" s="83"/>
      <c r="H15" s="134">
        <f t="shared" ref="H15:H20" si="2">G15-F15</f>
        <v>0</v>
      </c>
      <c r="I15" s="83"/>
      <c r="J15" s="83"/>
      <c r="K15" s="134">
        <f t="shared" ref="K15:K20" si="3">J15-I15</f>
        <v>0</v>
      </c>
      <c r="L15" s="83"/>
      <c r="M15" s="83"/>
      <c r="N15" s="134">
        <f t="shared" ref="N15:N20" si="4">M15-L15</f>
        <v>0</v>
      </c>
      <c r="O15" s="83"/>
      <c r="P15" s="83"/>
      <c r="Q15" s="134">
        <f t="shared" ref="Q15:Q20" si="5">P15-O15</f>
        <v>0</v>
      </c>
      <c r="R15" s="83"/>
      <c r="S15" s="83"/>
      <c r="T15" s="134">
        <f t="shared" ref="T15:T20" si="6">S15-R15</f>
        <v>0</v>
      </c>
      <c r="U15" s="83"/>
      <c r="V15" s="83"/>
      <c r="W15" s="134">
        <f t="shared" ref="W15:W20" si="7">V15-U15</f>
        <v>0</v>
      </c>
      <c r="X15" s="83"/>
      <c r="Y15" s="83"/>
      <c r="Z15" s="134">
        <f t="shared" ref="Z15:Z20" si="8">Y15-X15</f>
        <v>0</v>
      </c>
      <c r="AA15" s="83"/>
      <c r="AB15" s="83"/>
      <c r="AC15" s="134">
        <f t="shared" ref="AC15:AC20" si="9">AB15-AA15</f>
        <v>0</v>
      </c>
      <c r="AD15" s="83"/>
      <c r="AE15" s="83"/>
      <c r="AF15" s="137">
        <f t="shared" ref="AF15:AF20" si="10">AE15-AD15</f>
        <v>0</v>
      </c>
      <c r="AG15" s="83"/>
      <c r="AH15" s="83"/>
      <c r="AI15" s="137">
        <f t="shared" ref="AI15:AI20" si="11">AH15-AG15</f>
        <v>0</v>
      </c>
      <c r="AJ15" s="83"/>
      <c r="AK15" s="83"/>
      <c r="AL15" s="138">
        <f t="shared" ref="AL15:AL20" si="12">AK15-AJ15</f>
        <v>0</v>
      </c>
    </row>
    <row r="16" spans="2:43" s="130" customFormat="1" ht="15.75" x14ac:dyDescent="0.25">
      <c r="B16" s="136" t="s">
        <v>32</v>
      </c>
      <c r="C16" s="83"/>
      <c r="D16" s="83"/>
      <c r="E16" s="134">
        <f t="shared" si="1"/>
        <v>0</v>
      </c>
      <c r="F16" s="83"/>
      <c r="G16" s="83"/>
      <c r="H16" s="134">
        <f t="shared" si="2"/>
        <v>0</v>
      </c>
      <c r="I16" s="83"/>
      <c r="J16" s="83"/>
      <c r="K16" s="134">
        <f t="shared" si="3"/>
        <v>0</v>
      </c>
      <c r="L16" s="83"/>
      <c r="M16" s="83"/>
      <c r="N16" s="134">
        <f t="shared" si="4"/>
        <v>0</v>
      </c>
      <c r="O16" s="83"/>
      <c r="P16" s="83"/>
      <c r="Q16" s="134">
        <f t="shared" si="5"/>
        <v>0</v>
      </c>
      <c r="R16" s="83"/>
      <c r="S16" s="83"/>
      <c r="T16" s="134">
        <f t="shared" si="6"/>
        <v>0</v>
      </c>
      <c r="U16" s="83"/>
      <c r="V16" s="83"/>
      <c r="W16" s="134">
        <f t="shared" si="7"/>
        <v>0</v>
      </c>
      <c r="X16" s="83"/>
      <c r="Y16" s="83"/>
      <c r="Z16" s="134">
        <f t="shared" si="8"/>
        <v>0</v>
      </c>
      <c r="AA16" s="83"/>
      <c r="AB16" s="83"/>
      <c r="AC16" s="134">
        <f t="shared" si="9"/>
        <v>0</v>
      </c>
      <c r="AD16" s="83"/>
      <c r="AE16" s="83"/>
      <c r="AF16" s="137">
        <f t="shared" si="10"/>
        <v>0</v>
      </c>
      <c r="AG16" s="83"/>
      <c r="AH16" s="83"/>
      <c r="AI16" s="137">
        <f t="shared" si="11"/>
        <v>0</v>
      </c>
      <c r="AJ16" s="83"/>
      <c r="AK16" s="83"/>
      <c r="AL16" s="138">
        <f t="shared" si="12"/>
        <v>0</v>
      </c>
    </row>
    <row r="17" spans="2:38" s="130" customFormat="1" ht="15.75" x14ac:dyDescent="0.25">
      <c r="B17" s="136" t="s">
        <v>0</v>
      </c>
      <c r="C17" s="83"/>
      <c r="D17" s="83"/>
      <c r="E17" s="134">
        <f t="shared" ref="E17" si="13">D17-C17</f>
        <v>0</v>
      </c>
      <c r="F17" s="83"/>
      <c r="G17" s="83"/>
      <c r="H17" s="134">
        <f t="shared" ref="H17" si="14">G17-F17</f>
        <v>0</v>
      </c>
      <c r="I17" s="83"/>
      <c r="J17" s="83"/>
      <c r="K17" s="134">
        <f t="shared" ref="K17" si="15">J17-I17</f>
        <v>0</v>
      </c>
      <c r="L17" s="83"/>
      <c r="M17" s="83"/>
      <c r="N17" s="134">
        <f t="shared" ref="N17" si="16">M17-L17</f>
        <v>0</v>
      </c>
      <c r="O17" s="83"/>
      <c r="P17" s="83"/>
      <c r="Q17" s="134">
        <f t="shared" ref="Q17" si="17">P17-O17</f>
        <v>0</v>
      </c>
      <c r="R17" s="83"/>
      <c r="S17" s="83"/>
      <c r="T17" s="134">
        <f t="shared" ref="T17" si="18">S17-R17</f>
        <v>0</v>
      </c>
      <c r="U17" s="83"/>
      <c r="V17" s="83"/>
      <c r="W17" s="134">
        <f t="shared" ref="W17" si="19">V17-U17</f>
        <v>0</v>
      </c>
      <c r="X17" s="83"/>
      <c r="Y17" s="83"/>
      <c r="Z17" s="134">
        <f t="shared" ref="Z17" si="20">Y17-X17</f>
        <v>0</v>
      </c>
      <c r="AA17" s="83"/>
      <c r="AB17" s="83"/>
      <c r="AC17" s="134">
        <f t="shared" ref="AC17" si="21">AB17-AA17</f>
        <v>0</v>
      </c>
      <c r="AD17" s="83"/>
      <c r="AE17" s="83"/>
      <c r="AF17" s="137">
        <f t="shared" ref="AF17" si="22">AE17-AD17</f>
        <v>0</v>
      </c>
      <c r="AG17" s="83"/>
      <c r="AH17" s="83"/>
      <c r="AI17" s="137">
        <f t="shared" ref="AI17" si="23">AH17-AG17</f>
        <v>0</v>
      </c>
      <c r="AJ17" s="83"/>
      <c r="AK17" s="83"/>
      <c r="AL17" s="138">
        <f t="shared" ref="AL17" si="24">AK17-AJ17</f>
        <v>0</v>
      </c>
    </row>
    <row r="18" spans="2:38" s="130" customFormat="1" ht="15.75" hidden="1" outlineLevel="1" x14ac:dyDescent="0.25">
      <c r="B18" s="86"/>
      <c r="C18" s="83"/>
      <c r="D18" s="83"/>
      <c r="E18" s="134">
        <f t="shared" ref="E18" si="25">D18-C18</f>
        <v>0</v>
      </c>
      <c r="F18" s="83"/>
      <c r="G18" s="83"/>
      <c r="H18" s="134">
        <f t="shared" ref="H18" si="26">G18-F18</f>
        <v>0</v>
      </c>
      <c r="I18" s="83"/>
      <c r="J18" s="83"/>
      <c r="K18" s="134">
        <f t="shared" ref="K18" si="27">J18-I18</f>
        <v>0</v>
      </c>
      <c r="L18" s="83"/>
      <c r="M18" s="83"/>
      <c r="N18" s="134">
        <f t="shared" ref="N18" si="28">M18-L18</f>
        <v>0</v>
      </c>
      <c r="O18" s="83"/>
      <c r="P18" s="83"/>
      <c r="Q18" s="134">
        <f t="shared" ref="Q18" si="29">P18-O18</f>
        <v>0</v>
      </c>
      <c r="R18" s="83"/>
      <c r="S18" s="83"/>
      <c r="T18" s="134">
        <f t="shared" ref="T18" si="30">S18-R18</f>
        <v>0</v>
      </c>
      <c r="U18" s="83"/>
      <c r="V18" s="83"/>
      <c r="W18" s="134">
        <f t="shared" ref="W18" si="31">V18-U18</f>
        <v>0</v>
      </c>
      <c r="X18" s="83"/>
      <c r="Y18" s="83"/>
      <c r="Z18" s="134">
        <f t="shared" ref="Z18" si="32">Y18-X18</f>
        <v>0</v>
      </c>
      <c r="AA18" s="83"/>
      <c r="AB18" s="83"/>
      <c r="AC18" s="134">
        <f t="shared" ref="AC18" si="33">AB18-AA18</f>
        <v>0</v>
      </c>
      <c r="AD18" s="83"/>
      <c r="AE18" s="83"/>
      <c r="AF18" s="137">
        <f t="shared" ref="AF18" si="34">AE18-AD18</f>
        <v>0</v>
      </c>
      <c r="AG18" s="83"/>
      <c r="AH18" s="83"/>
      <c r="AI18" s="137">
        <f t="shared" ref="AI18" si="35">AH18-AG18</f>
        <v>0</v>
      </c>
      <c r="AJ18" s="83"/>
      <c r="AK18" s="83"/>
      <c r="AL18" s="138">
        <f t="shared" ref="AL18" si="36">AK18-AJ18</f>
        <v>0</v>
      </c>
    </row>
    <row r="19" spans="2:38" s="130" customFormat="1" ht="15.75" hidden="1" outlineLevel="1" x14ac:dyDescent="0.25">
      <c r="B19" s="86"/>
      <c r="C19" s="83"/>
      <c r="D19" s="83"/>
      <c r="E19" s="134">
        <f t="shared" ref="E19" si="37">D19-C19</f>
        <v>0</v>
      </c>
      <c r="F19" s="83"/>
      <c r="G19" s="83"/>
      <c r="H19" s="134">
        <f t="shared" ref="H19" si="38">G19-F19</f>
        <v>0</v>
      </c>
      <c r="I19" s="83"/>
      <c r="J19" s="83"/>
      <c r="K19" s="134">
        <f t="shared" ref="K19" si="39">J19-I19</f>
        <v>0</v>
      </c>
      <c r="L19" s="83"/>
      <c r="M19" s="83"/>
      <c r="N19" s="134">
        <f t="shared" ref="N19" si="40">M19-L19</f>
        <v>0</v>
      </c>
      <c r="O19" s="83"/>
      <c r="P19" s="83"/>
      <c r="Q19" s="134">
        <f t="shared" ref="Q19" si="41">P19-O19</f>
        <v>0</v>
      </c>
      <c r="R19" s="83"/>
      <c r="S19" s="83"/>
      <c r="T19" s="134">
        <f t="shared" ref="T19" si="42">S19-R19</f>
        <v>0</v>
      </c>
      <c r="U19" s="83"/>
      <c r="V19" s="83"/>
      <c r="W19" s="134">
        <f t="shared" ref="W19" si="43">V19-U19</f>
        <v>0</v>
      </c>
      <c r="X19" s="83"/>
      <c r="Y19" s="83"/>
      <c r="Z19" s="134">
        <f t="shared" ref="Z19" si="44">Y19-X19</f>
        <v>0</v>
      </c>
      <c r="AA19" s="83"/>
      <c r="AB19" s="83"/>
      <c r="AC19" s="134">
        <f t="shared" ref="AC19" si="45">AB19-AA19</f>
        <v>0</v>
      </c>
      <c r="AD19" s="83"/>
      <c r="AE19" s="83"/>
      <c r="AF19" s="137">
        <f t="shared" ref="AF19" si="46">AE19-AD19</f>
        <v>0</v>
      </c>
      <c r="AG19" s="83"/>
      <c r="AH19" s="83"/>
      <c r="AI19" s="137">
        <f t="shared" ref="AI19" si="47">AH19-AG19</f>
        <v>0</v>
      </c>
      <c r="AJ19" s="83"/>
      <c r="AK19" s="83"/>
      <c r="AL19" s="138">
        <f t="shared" ref="AL19" si="48">AK19-AJ19</f>
        <v>0</v>
      </c>
    </row>
    <row r="20" spans="2:38" s="130" customFormat="1" ht="15.75" hidden="1" outlineLevel="1" x14ac:dyDescent="0.25">
      <c r="B20" s="87"/>
      <c r="C20" s="139"/>
      <c r="D20" s="139"/>
      <c r="E20" s="134">
        <f t="shared" si="1"/>
        <v>0</v>
      </c>
      <c r="F20" s="139"/>
      <c r="G20" s="139"/>
      <c r="H20" s="134">
        <f t="shared" si="2"/>
        <v>0</v>
      </c>
      <c r="I20" s="139"/>
      <c r="J20" s="139"/>
      <c r="K20" s="134">
        <f t="shared" si="3"/>
        <v>0</v>
      </c>
      <c r="L20" s="139"/>
      <c r="M20" s="139"/>
      <c r="N20" s="134">
        <f t="shared" si="4"/>
        <v>0</v>
      </c>
      <c r="O20" s="139"/>
      <c r="P20" s="139"/>
      <c r="Q20" s="134">
        <f t="shared" si="5"/>
        <v>0</v>
      </c>
      <c r="R20" s="139"/>
      <c r="S20" s="139"/>
      <c r="T20" s="134">
        <f t="shared" si="6"/>
        <v>0</v>
      </c>
      <c r="U20" s="139"/>
      <c r="V20" s="139"/>
      <c r="W20" s="134">
        <f t="shared" si="7"/>
        <v>0</v>
      </c>
      <c r="X20" s="139"/>
      <c r="Y20" s="139"/>
      <c r="Z20" s="134">
        <f t="shared" si="8"/>
        <v>0</v>
      </c>
      <c r="AA20" s="139"/>
      <c r="AB20" s="139"/>
      <c r="AC20" s="134">
        <f t="shared" si="9"/>
        <v>0</v>
      </c>
      <c r="AD20" s="139"/>
      <c r="AE20" s="139"/>
      <c r="AF20" s="140">
        <f t="shared" si="10"/>
        <v>0</v>
      </c>
      <c r="AG20" s="139"/>
      <c r="AH20" s="139"/>
      <c r="AI20" s="140">
        <f t="shared" si="11"/>
        <v>0</v>
      </c>
      <c r="AJ20" s="139"/>
      <c r="AK20" s="139"/>
      <c r="AL20" s="141">
        <f t="shared" si="12"/>
        <v>0</v>
      </c>
    </row>
    <row r="21" spans="2:38" s="130" customFormat="1" ht="15.75" collapsed="1" x14ac:dyDescent="0.25">
      <c r="B21" s="142" t="s">
        <v>45</v>
      </c>
      <c r="C21" s="143">
        <f>SUM(C14:C20)+$C$8</f>
        <v>0</v>
      </c>
      <c r="D21" s="143">
        <f>SUM(D14:D20)+$C$8</f>
        <v>0</v>
      </c>
      <c r="E21" s="143">
        <f t="shared" ref="E21:AL21" si="49">SUM(E14:E20)</f>
        <v>0</v>
      </c>
      <c r="F21" s="143">
        <f t="shared" si="49"/>
        <v>0</v>
      </c>
      <c r="G21" s="143">
        <f t="shared" si="49"/>
        <v>0</v>
      </c>
      <c r="H21" s="143">
        <f t="shared" si="49"/>
        <v>0</v>
      </c>
      <c r="I21" s="143">
        <f t="shared" si="49"/>
        <v>0</v>
      </c>
      <c r="J21" s="143">
        <f t="shared" si="49"/>
        <v>0</v>
      </c>
      <c r="K21" s="143">
        <f t="shared" si="49"/>
        <v>0</v>
      </c>
      <c r="L21" s="143">
        <f t="shared" si="49"/>
        <v>0</v>
      </c>
      <c r="M21" s="143">
        <f t="shared" si="49"/>
        <v>0</v>
      </c>
      <c r="N21" s="143">
        <f t="shared" si="49"/>
        <v>0</v>
      </c>
      <c r="O21" s="143">
        <f t="shared" si="49"/>
        <v>0</v>
      </c>
      <c r="P21" s="143">
        <f t="shared" si="49"/>
        <v>0</v>
      </c>
      <c r="Q21" s="143">
        <f t="shared" si="49"/>
        <v>0</v>
      </c>
      <c r="R21" s="143">
        <f t="shared" si="49"/>
        <v>0</v>
      </c>
      <c r="S21" s="143">
        <f t="shared" si="49"/>
        <v>0</v>
      </c>
      <c r="T21" s="143">
        <f t="shared" si="49"/>
        <v>0</v>
      </c>
      <c r="U21" s="143">
        <f t="shared" si="49"/>
        <v>0</v>
      </c>
      <c r="V21" s="143">
        <f t="shared" si="49"/>
        <v>0</v>
      </c>
      <c r="W21" s="143">
        <f t="shared" si="49"/>
        <v>0</v>
      </c>
      <c r="X21" s="143">
        <f t="shared" si="49"/>
        <v>0</v>
      </c>
      <c r="Y21" s="143">
        <f t="shared" si="49"/>
        <v>0</v>
      </c>
      <c r="Z21" s="143">
        <f t="shared" si="49"/>
        <v>0</v>
      </c>
      <c r="AA21" s="143">
        <f t="shared" si="49"/>
        <v>0</v>
      </c>
      <c r="AB21" s="143">
        <f t="shared" si="49"/>
        <v>0</v>
      </c>
      <c r="AC21" s="143">
        <f t="shared" si="49"/>
        <v>0</v>
      </c>
      <c r="AD21" s="143">
        <f t="shared" si="49"/>
        <v>0</v>
      </c>
      <c r="AE21" s="143">
        <f t="shared" si="49"/>
        <v>0</v>
      </c>
      <c r="AF21" s="143">
        <f t="shared" si="49"/>
        <v>0</v>
      </c>
      <c r="AG21" s="143">
        <f t="shared" si="49"/>
        <v>0</v>
      </c>
      <c r="AH21" s="143">
        <f t="shared" si="49"/>
        <v>0</v>
      </c>
      <c r="AI21" s="143">
        <f t="shared" si="49"/>
        <v>0</v>
      </c>
      <c r="AJ21" s="143">
        <f t="shared" si="49"/>
        <v>0</v>
      </c>
      <c r="AK21" s="143">
        <f t="shared" si="49"/>
        <v>0</v>
      </c>
      <c r="AL21" s="144">
        <f t="shared" si="49"/>
        <v>0</v>
      </c>
    </row>
    <row r="22" spans="2:38" s="147" customFormat="1" ht="7.5" customHeight="1" x14ac:dyDescent="0.25">
      <c r="B22" s="145"/>
      <c r="C22" s="146"/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146"/>
      <c r="AJ22" s="146"/>
      <c r="AK22" s="146"/>
      <c r="AL22" s="146"/>
    </row>
    <row r="23" spans="2:38" s="130" customFormat="1" ht="15.75" x14ac:dyDescent="0.25">
      <c r="B23" s="244" t="s">
        <v>47</v>
      </c>
      <c r="C23" s="245"/>
      <c r="D23" s="245"/>
      <c r="E23" s="245"/>
      <c r="F23" s="245"/>
      <c r="G23" s="245"/>
      <c r="H23" s="245"/>
      <c r="I23" s="245"/>
      <c r="J23" s="245"/>
      <c r="K23" s="245"/>
      <c r="L23" s="245"/>
      <c r="M23" s="245"/>
      <c r="N23" s="245"/>
      <c r="O23" s="245"/>
      <c r="P23" s="245"/>
      <c r="Q23" s="245"/>
      <c r="R23" s="245"/>
      <c r="S23" s="245"/>
      <c r="T23" s="245"/>
      <c r="U23" s="245"/>
      <c r="V23" s="245"/>
      <c r="W23" s="245"/>
      <c r="X23" s="245"/>
      <c r="Y23" s="245"/>
      <c r="Z23" s="245"/>
      <c r="AA23" s="245"/>
      <c r="AB23" s="245"/>
      <c r="AC23" s="245"/>
      <c r="AD23" s="245"/>
      <c r="AE23" s="245"/>
      <c r="AF23" s="245"/>
      <c r="AG23" s="245"/>
      <c r="AH23" s="246"/>
      <c r="AI23" s="246"/>
      <c r="AJ23" s="245"/>
      <c r="AK23" s="246"/>
      <c r="AL23" s="247"/>
    </row>
    <row r="24" spans="2:38" s="130" customFormat="1" ht="15.75" x14ac:dyDescent="0.25">
      <c r="B24" s="136" t="s">
        <v>29</v>
      </c>
      <c r="C24" s="83"/>
      <c r="D24" s="83"/>
      <c r="E24" s="134">
        <f>D24-C24</f>
        <v>0</v>
      </c>
      <c r="F24" s="83">
        <f>$C$7*F21</f>
        <v>0</v>
      </c>
      <c r="G24" s="83"/>
      <c r="H24" s="137">
        <f>G24-F24</f>
        <v>0</v>
      </c>
      <c r="I24" s="83">
        <f>$C$7*I21</f>
        <v>0</v>
      </c>
      <c r="J24" s="83"/>
      <c r="K24" s="137">
        <f>J24-I24</f>
        <v>0</v>
      </c>
      <c r="L24" s="83">
        <f>$C$7*L21</f>
        <v>0</v>
      </c>
      <c r="M24" s="83"/>
      <c r="N24" s="137">
        <f>M24-L24</f>
        <v>0</v>
      </c>
      <c r="O24" s="83">
        <f>$C$7*O21</f>
        <v>0</v>
      </c>
      <c r="P24" s="83"/>
      <c r="Q24" s="137">
        <f>P24-O24</f>
        <v>0</v>
      </c>
      <c r="R24" s="83">
        <f>$C$7*R21</f>
        <v>0</v>
      </c>
      <c r="S24" s="83"/>
      <c r="T24" s="137">
        <f>S24-R24</f>
        <v>0</v>
      </c>
      <c r="U24" s="83">
        <f>$C$7*U21</f>
        <v>0</v>
      </c>
      <c r="V24" s="83"/>
      <c r="W24" s="137">
        <f>V24-U24</f>
        <v>0</v>
      </c>
      <c r="X24" s="83">
        <f>$C$7*X21</f>
        <v>0</v>
      </c>
      <c r="Y24" s="83"/>
      <c r="Z24" s="137">
        <f>Y24-X24</f>
        <v>0</v>
      </c>
      <c r="AA24" s="83">
        <f>$C$7*AA21</f>
        <v>0</v>
      </c>
      <c r="AB24" s="83"/>
      <c r="AC24" s="137">
        <f>AB24-AA24</f>
        <v>0</v>
      </c>
      <c r="AD24" s="83">
        <f>$C$7*AD21</f>
        <v>0</v>
      </c>
      <c r="AE24" s="83"/>
      <c r="AF24" s="137">
        <f>AE24-AD24</f>
        <v>0</v>
      </c>
      <c r="AG24" s="83">
        <f>$C$7*AG21</f>
        <v>0</v>
      </c>
      <c r="AH24" s="84"/>
      <c r="AI24" s="148">
        <f>AH24-AG24</f>
        <v>0</v>
      </c>
      <c r="AJ24" s="83">
        <f>$C$7*AJ21</f>
        <v>0</v>
      </c>
      <c r="AK24" s="84"/>
      <c r="AL24" s="138">
        <f>AK24-AJ24</f>
        <v>0</v>
      </c>
    </row>
    <row r="25" spans="2:38" s="130" customFormat="1" ht="15.75" x14ac:dyDescent="0.25">
      <c r="B25" s="142" t="s">
        <v>48</v>
      </c>
      <c r="C25" s="143">
        <f>C24</f>
        <v>0</v>
      </c>
      <c r="D25" s="143">
        <f t="shared" ref="D25:AL25" si="50">SUM(D24:D24)</f>
        <v>0</v>
      </c>
      <c r="E25" s="143">
        <f t="shared" si="50"/>
        <v>0</v>
      </c>
      <c r="F25" s="143">
        <f t="shared" si="50"/>
        <v>0</v>
      </c>
      <c r="G25" s="143">
        <f t="shared" si="50"/>
        <v>0</v>
      </c>
      <c r="H25" s="143">
        <f t="shared" si="50"/>
        <v>0</v>
      </c>
      <c r="I25" s="143">
        <f t="shared" si="50"/>
        <v>0</v>
      </c>
      <c r="J25" s="143">
        <f t="shared" si="50"/>
        <v>0</v>
      </c>
      <c r="K25" s="143">
        <f t="shared" si="50"/>
        <v>0</v>
      </c>
      <c r="L25" s="143">
        <f t="shared" si="50"/>
        <v>0</v>
      </c>
      <c r="M25" s="143">
        <f t="shared" si="50"/>
        <v>0</v>
      </c>
      <c r="N25" s="143">
        <f t="shared" si="50"/>
        <v>0</v>
      </c>
      <c r="O25" s="143">
        <f t="shared" si="50"/>
        <v>0</v>
      </c>
      <c r="P25" s="143">
        <f t="shared" si="50"/>
        <v>0</v>
      </c>
      <c r="Q25" s="143">
        <f t="shared" si="50"/>
        <v>0</v>
      </c>
      <c r="R25" s="143">
        <f t="shared" si="50"/>
        <v>0</v>
      </c>
      <c r="S25" s="143">
        <f t="shared" si="50"/>
        <v>0</v>
      </c>
      <c r="T25" s="143">
        <f t="shared" si="50"/>
        <v>0</v>
      </c>
      <c r="U25" s="143">
        <f t="shared" si="50"/>
        <v>0</v>
      </c>
      <c r="V25" s="143">
        <f t="shared" si="50"/>
        <v>0</v>
      </c>
      <c r="W25" s="143">
        <f t="shared" si="50"/>
        <v>0</v>
      </c>
      <c r="X25" s="143">
        <f t="shared" si="50"/>
        <v>0</v>
      </c>
      <c r="Y25" s="143">
        <f t="shared" si="50"/>
        <v>0</v>
      </c>
      <c r="Z25" s="143">
        <f t="shared" si="50"/>
        <v>0</v>
      </c>
      <c r="AA25" s="143">
        <f t="shared" si="50"/>
        <v>0</v>
      </c>
      <c r="AB25" s="143">
        <f t="shared" si="50"/>
        <v>0</v>
      </c>
      <c r="AC25" s="143">
        <f t="shared" si="50"/>
        <v>0</v>
      </c>
      <c r="AD25" s="143">
        <f t="shared" si="50"/>
        <v>0</v>
      </c>
      <c r="AE25" s="143">
        <f t="shared" si="50"/>
        <v>0</v>
      </c>
      <c r="AF25" s="143">
        <f t="shared" si="50"/>
        <v>0</v>
      </c>
      <c r="AG25" s="143">
        <f t="shared" si="50"/>
        <v>0</v>
      </c>
      <c r="AH25" s="149">
        <f t="shared" si="50"/>
        <v>0</v>
      </c>
      <c r="AI25" s="149">
        <f t="shared" si="50"/>
        <v>0</v>
      </c>
      <c r="AJ25" s="143">
        <f t="shared" si="50"/>
        <v>0</v>
      </c>
      <c r="AK25" s="149">
        <f t="shared" si="50"/>
        <v>0</v>
      </c>
      <c r="AL25" s="144">
        <f t="shared" si="50"/>
        <v>0</v>
      </c>
    </row>
    <row r="26" spans="2:38" s="147" customFormat="1" ht="7.5" customHeight="1" x14ac:dyDescent="0.25">
      <c r="B26" s="145"/>
      <c r="C26" s="146"/>
      <c r="D26" s="146"/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6"/>
      <c r="AE26" s="146"/>
      <c r="AF26" s="146"/>
      <c r="AG26" s="146"/>
      <c r="AH26" s="146"/>
      <c r="AI26" s="146"/>
      <c r="AJ26" s="146"/>
      <c r="AK26" s="146"/>
      <c r="AL26" s="146"/>
    </row>
    <row r="27" spans="2:38" s="130" customFormat="1" ht="15.75" x14ac:dyDescent="0.25">
      <c r="B27" s="244" t="s">
        <v>58</v>
      </c>
      <c r="C27" s="248"/>
      <c r="D27" s="248"/>
      <c r="E27" s="248"/>
      <c r="F27" s="248"/>
      <c r="G27" s="248"/>
      <c r="H27" s="248"/>
      <c r="I27" s="248"/>
      <c r="J27" s="248"/>
      <c r="K27" s="248"/>
      <c r="L27" s="248"/>
      <c r="M27" s="248"/>
      <c r="N27" s="248"/>
      <c r="O27" s="248"/>
      <c r="P27" s="248"/>
      <c r="Q27" s="248"/>
      <c r="R27" s="248"/>
      <c r="S27" s="248"/>
      <c r="T27" s="248"/>
      <c r="U27" s="248"/>
      <c r="V27" s="248"/>
      <c r="W27" s="248"/>
      <c r="X27" s="248"/>
      <c r="Y27" s="248"/>
      <c r="Z27" s="248"/>
      <c r="AA27" s="248"/>
      <c r="AB27" s="248"/>
      <c r="AC27" s="248"/>
      <c r="AD27" s="248"/>
      <c r="AE27" s="248"/>
      <c r="AF27" s="248"/>
      <c r="AG27" s="248"/>
      <c r="AH27" s="249"/>
      <c r="AI27" s="249"/>
      <c r="AJ27" s="248"/>
      <c r="AK27" s="249"/>
      <c r="AL27" s="250"/>
    </row>
    <row r="28" spans="2:38" s="130" customFormat="1" ht="15.75" x14ac:dyDescent="0.25">
      <c r="B28" s="150" t="s">
        <v>1</v>
      </c>
      <c r="C28" s="134">
        <f>SUM(C29:C38)</f>
        <v>0</v>
      </c>
      <c r="D28" s="134">
        <f t="shared" ref="D28:AL28" si="51">SUM(D29:D38)</f>
        <v>0</v>
      </c>
      <c r="E28" s="134">
        <f t="shared" si="51"/>
        <v>0</v>
      </c>
      <c r="F28" s="134">
        <f t="shared" si="51"/>
        <v>0</v>
      </c>
      <c r="G28" s="134">
        <f t="shared" si="51"/>
        <v>0</v>
      </c>
      <c r="H28" s="134">
        <f t="shared" si="51"/>
        <v>0</v>
      </c>
      <c r="I28" s="134">
        <f t="shared" si="51"/>
        <v>0</v>
      </c>
      <c r="J28" s="134">
        <f t="shared" si="51"/>
        <v>0</v>
      </c>
      <c r="K28" s="134">
        <f t="shared" si="51"/>
        <v>0</v>
      </c>
      <c r="L28" s="134">
        <f t="shared" si="51"/>
        <v>0</v>
      </c>
      <c r="M28" s="134">
        <f t="shared" si="51"/>
        <v>0</v>
      </c>
      <c r="N28" s="134">
        <f t="shared" si="51"/>
        <v>0</v>
      </c>
      <c r="O28" s="134">
        <f t="shared" si="51"/>
        <v>0</v>
      </c>
      <c r="P28" s="134">
        <f t="shared" si="51"/>
        <v>0</v>
      </c>
      <c r="Q28" s="134">
        <f t="shared" si="51"/>
        <v>0</v>
      </c>
      <c r="R28" s="134">
        <f t="shared" si="51"/>
        <v>0</v>
      </c>
      <c r="S28" s="134">
        <f t="shared" si="51"/>
        <v>0</v>
      </c>
      <c r="T28" s="134">
        <f t="shared" si="51"/>
        <v>0</v>
      </c>
      <c r="U28" s="134">
        <f t="shared" si="51"/>
        <v>0</v>
      </c>
      <c r="V28" s="134">
        <f t="shared" si="51"/>
        <v>0</v>
      </c>
      <c r="W28" s="134">
        <f t="shared" si="51"/>
        <v>0</v>
      </c>
      <c r="X28" s="134">
        <f t="shared" si="51"/>
        <v>0</v>
      </c>
      <c r="Y28" s="134">
        <f t="shared" si="51"/>
        <v>0</v>
      </c>
      <c r="Z28" s="134">
        <f t="shared" si="51"/>
        <v>0</v>
      </c>
      <c r="AA28" s="134">
        <f t="shared" si="51"/>
        <v>0</v>
      </c>
      <c r="AB28" s="134">
        <f t="shared" si="51"/>
        <v>0</v>
      </c>
      <c r="AC28" s="134">
        <f t="shared" si="51"/>
        <v>0</v>
      </c>
      <c r="AD28" s="134">
        <f t="shared" si="51"/>
        <v>0</v>
      </c>
      <c r="AE28" s="134">
        <f t="shared" si="51"/>
        <v>0</v>
      </c>
      <c r="AF28" s="134">
        <f t="shared" si="51"/>
        <v>0</v>
      </c>
      <c r="AG28" s="134">
        <f t="shared" si="51"/>
        <v>0</v>
      </c>
      <c r="AH28" s="151">
        <f t="shared" si="51"/>
        <v>0</v>
      </c>
      <c r="AI28" s="151">
        <f t="shared" si="51"/>
        <v>0</v>
      </c>
      <c r="AJ28" s="134">
        <f t="shared" si="51"/>
        <v>0</v>
      </c>
      <c r="AK28" s="151">
        <f t="shared" si="51"/>
        <v>0</v>
      </c>
      <c r="AL28" s="135">
        <f t="shared" si="51"/>
        <v>0</v>
      </c>
    </row>
    <row r="29" spans="2:38" s="130" customFormat="1" ht="15.75" x14ac:dyDescent="0.25">
      <c r="B29" s="152" t="s">
        <v>2</v>
      </c>
      <c r="C29" s="83"/>
      <c r="D29" s="83"/>
      <c r="E29" s="134">
        <f t="shared" ref="E29:E38" si="52">C29-D29</f>
        <v>0</v>
      </c>
      <c r="F29" s="83">
        <f>$C29</f>
        <v>0</v>
      </c>
      <c r="G29" s="83"/>
      <c r="H29" s="137">
        <f t="shared" ref="H29:H38" si="53">F29-G29</f>
        <v>0</v>
      </c>
      <c r="I29" s="83">
        <f>$C29</f>
        <v>0</v>
      </c>
      <c r="J29" s="83"/>
      <c r="K29" s="137">
        <f t="shared" ref="K29:K38" si="54">I29-J29</f>
        <v>0</v>
      </c>
      <c r="L29" s="83">
        <f>$C29</f>
        <v>0</v>
      </c>
      <c r="M29" s="83"/>
      <c r="N29" s="137">
        <f t="shared" ref="N29:N38" si="55">L29-M29</f>
        <v>0</v>
      </c>
      <c r="O29" s="83">
        <f>$C29</f>
        <v>0</v>
      </c>
      <c r="P29" s="83"/>
      <c r="Q29" s="137">
        <f t="shared" ref="Q29:Q38" si="56">O29-P29</f>
        <v>0</v>
      </c>
      <c r="R29" s="83">
        <f>$C29</f>
        <v>0</v>
      </c>
      <c r="S29" s="83"/>
      <c r="T29" s="137">
        <f t="shared" ref="T29:T38" si="57">R29-S29</f>
        <v>0</v>
      </c>
      <c r="U29" s="83">
        <f>$C29</f>
        <v>0</v>
      </c>
      <c r="V29" s="83"/>
      <c r="W29" s="137">
        <f t="shared" ref="W29:W38" si="58">U29-V29</f>
        <v>0</v>
      </c>
      <c r="X29" s="83">
        <f>$C29</f>
        <v>0</v>
      </c>
      <c r="Y29" s="83"/>
      <c r="Z29" s="137">
        <f t="shared" ref="Z29:Z38" si="59">X29-Y29</f>
        <v>0</v>
      </c>
      <c r="AA29" s="83">
        <f>$C29</f>
        <v>0</v>
      </c>
      <c r="AB29" s="83"/>
      <c r="AC29" s="137">
        <f t="shared" ref="AC29:AC38" si="60">AA29-AB29</f>
        <v>0</v>
      </c>
      <c r="AD29" s="83">
        <f>$C29</f>
        <v>0</v>
      </c>
      <c r="AE29" s="83"/>
      <c r="AF29" s="137">
        <f t="shared" ref="AF29:AF38" si="61">AD29-AE29</f>
        <v>0</v>
      </c>
      <c r="AG29" s="83">
        <f>$C29</f>
        <v>0</v>
      </c>
      <c r="AH29" s="84"/>
      <c r="AI29" s="148">
        <f t="shared" ref="AI29:AI38" si="62">AG29-AH29</f>
        <v>0</v>
      </c>
      <c r="AJ29" s="83">
        <f>$C29</f>
        <v>0</v>
      </c>
      <c r="AK29" s="84"/>
      <c r="AL29" s="138">
        <f t="shared" ref="AL29:AL38" si="63">AJ29-AK29</f>
        <v>0</v>
      </c>
    </row>
    <row r="30" spans="2:38" s="130" customFormat="1" ht="15.75" x14ac:dyDescent="0.25">
      <c r="B30" s="152" t="s">
        <v>3</v>
      </c>
      <c r="C30" s="83"/>
      <c r="D30" s="83"/>
      <c r="E30" s="134">
        <f t="shared" si="52"/>
        <v>0</v>
      </c>
      <c r="F30" s="83">
        <f>$C30</f>
        <v>0</v>
      </c>
      <c r="G30" s="83"/>
      <c r="H30" s="137">
        <f t="shared" si="53"/>
        <v>0</v>
      </c>
      <c r="I30" s="83">
        <f>$C30</f>
        <v>0</v>
      </c>
      <c r="J30" s="83"/>
      <c r="K30" s="137">
        <f t="shared" si="54"/>
        <v>0</v>
      </c>
      <c r="L30" s="83">
        <f>$C30</f>
        <v>0</v>
      </c>
      <c r="M30" s="83"/>
      <c r="N30" s="137">
        <f t="shared" si="55"/>
        <v>0</v>
      </c>
      <c r="O30" s="83">
        <f>$C30</f>
        <v>0</v>
      </c>
      <c r="P30" s="83"/>
      <c r="Q30" s="137">
        <f t="shared" si="56"/>
        <v>0</v>
      </c>
      <c r="R30" s="83">
        <f>$C30</f>
        <v>0</v>
      </c>
      <c r="S30" s="83"/>
      <c r="T30" s="137">
        <f t="shared" si="57"/>
        <v>0</v>
      </c>
      <c r="U30" s="83">
        <f>$C30</f>
        <v>0</v>
      </c>
      <c r="V30" s="83"/>
      <c r="W30" s="137">
        <f t="shared" si="58"/>
        <v>0</v>
      </c>
      <c r="X30" s="83">
        <f>$C30</f>
        <v>0</v>
      </c>
      <c r="Y30" s="83"/>
      <c r="Z30" s="137">
        <f t="shared" si="59"/>
        <v>0</v>
      </c>
      <c r="AA30" s="83">
        <f>$C30</f>
        <v>0</v>
      </c>
      <c r="AB30" s="83"/>
      <c r="AC30" s="137">
        <f t="shared" si="60"/>
        <v>0</v>
      </c>
      <c r="AD30" s="83">
        <f>$C30</f>
        <v>0</v>
      </c>
      <c r="AE30" s="83"/>
      <c r="AF30" s="137">
        <f t="shared" si="61"/>
        <v>0</v>
      </c>
      <c r="AG30" s="83">
        <f>$C30</f>
        <v>0</v>
      </c>
      <c r="AH30" s="84"/>
      <c r="AI30" s="148">
        <f t="shared" si="62"/>
        <v>0</v>
      </c>
      <c r="AJ30" s="83">
        <f>$C30</f>
        <v>0</v>
      </c>
      <c r="AK30" s="84"/>
      <c r="AL30" s="138">
        <f t="shared" si="63"/>
        <v>0</v>
      </c>
    </row>
    <row r="31" spans="2:38" s="130" customFormat="1" ht="15.75" x14ac:dyDescent="0.25">
      <c r="B31" s="152" t="s">
        <v>4</v>
      </c>
      <c r="C31" s="83"/>
      <c r="D31" s="83"/>
      <c r="E31" s="134">
        <f t="shared" si="52"/>
        <v>0</v>
      </c>
      <c r="F31" s="83">
        <f t="shared" ref="F31:F38" si="64">$C31</f>
        <v>0</v>
      </c>
      <c r="G31" s="83"/>
      <c r="H31" s="137">
        <f t="shared" si="53"/>
        <v>0</v>
      </c>
      <c r="I31" s="83">
        <f t="shared" ref="I31:I38" si="65">$C31</f>
        <v>0</v>
      </c>
      <c r="J31" s="83"/>
      <c r="K31" s="137">
        <f t="shared" si="54"/>
        <v>0</v>
      </c>
      <c r="L31" s="83">
        <f t="shared" ref="L31:L38" si="66">$C31</f>
        <v>0</v>
      </c>
      <c r="M31" s="83"/>
      <c r="N31" s="137">
        <f t="shared" si="55"/>
        <v>0</v>
      </c>
      <c r="O31" s="83">
        <f t="shared" ref="O31:O38" si="67">$C31</f>
        <v>0</v>
      </c>
      <c r="P31" s="83"/>
      <c r="Q31" s="137">
        <f t="shared" si="56"/>
        <v>0</v>
      </c>
      <c r="R31" s="83">
        <f t="shared" ref="R31:R38" si="68">$C31</f>
        <v>0</v>
      </c>
      <c r="S31" s="83"/>
      <c r="T31" s="137">
        <f t="shared" si="57"/>
        <v>0</v>
      </c>
      <c r="U31" s="83">
        <f t="shared" ref="U31:U38" si="69">$C31</f>
        <v>0</v>
      </c>
      <c r="V31" s="83"/>
      <c r="W31" s="137">
        <f t="shared" si="58"/>
        <v>0</v>
      </c>
      <c r="X31" s="83">
        <f t="shared" ref="X31:X38" si="70">$C31</f>
        <v>0</v>
      </c>
      <c r="Y31" s="83"/>
      <c r="Z31" s="137">
        <f t="shared" si="59"/>
        <v>0</v>
      </c>
      <c r="AA31" s="83">
        <f t="shared" ref="AA31:AA38" si="71">$C31</f>
        <v>0</v>
      </c>
      <c r="AB31" s="83"/>
      <c r="AC31" s="137">
        <f t="shared" si="60"/>
        <v>0</v>
      </c>
      <c r="AD31" s="83">
        <f t="shared" ref="AD31:AD38" si="72">$C31</f>
        <v>0</v>
      </c>
      <c r="AE31" s="83"/>
      <c r="AF31" s="137">
        <f t="shared" si="61"/>
        <v>0</v>
      </c>
      <c r="AG31" s="83">
        <f t="shared" ref="AG31:AG38" si="73">$C31</f>
        <v>0</v>
      </c>
      <c r="AH31" s="84"/>
      <c r="AI31" s="148">
        <f t="shared" si="62"/>
        <v>0</v>
      </c>
      <c r="AJ31" s="83">
        <f t="shared" ref="AJ31:AJ38" si="74">$C31</f>
        <v>0</v>
      </c>
      <c r="AK31" s="84"/>
      <c r="AL31" s="138">
        <f t="shared" si="63"/>
        <v>0</v>
      </c>
    </row>
    <row r="32" spans="2:38" s="130" customFormat="1" ht="15.75" x14ac:dyDescent="0.25">
      <c r="B32" s="152" t="s">
        <v>5</v>
      </c>
      <c r="C32" s="83"/>
      <c r="D32" s="83"/>
      <c r="E32" s="134">
        <f t="shared" si="52"/>
        <v>0</v>
      </c>
      <c r="F32" s="83">
        <f t="shared" si="64"/>
        <v>0</v>
      </c>
      <c r="G32" s="83"/>
      <c r="H32" s="137">
        <f t="shared" si="53"/>
        <v>0</v>
      </c>
      <c r="I32" s="83">
        <f t="shared" si="65"/>
        <v>0</v>
      </c>
      <c r="J32" s="83"/>
      <c r="K32" s="137">
        <f t="shared" si="54"/>
        <v>0</v>
      </c>
      <c r="L32" s="83">
        <f t="shared" si="66"/>
        <v>0</v>
      </c>
      <c r="M32" s="83"/>
      <c r="N32" s="137">
        <f t="shared" si="55"/>
        <v>0</v>
      </c>
      <c r="O32" s="83">
        <f t="shared" si="67"/>
        <v>0</v>
      </c>
      <c r="P32" s="83"/>
      <c r="Q32" s="137">
        <f t="shared" si="56"/>
        <v>0</v>
      </c>
      <c r="R32" s="83">
        <f t="shared" si="68"/>
        <v>0</v>
      </c>
      <c r="S32" s="83"/>
      <c r="T32" s="137">
        <f t="shared" si="57"/>
        <v>0</v>
      </c>
      <c r="U32" s="83">
        <f t="shared" si="69"/>
        <v>0</v>
      </c>
      <c r="V32" s="83"/>
      <c r="W32" s="137">
        <f t="shared" si="58"/>
        <v>0</v>
      </c>
      <c r="X32" s="83">
        <f t="shared" si="70"/>
        <v>0</v>
      </c>
      <c r="Y32" s="83"/>
      <c r="Z32" s="137">
        <f t="shared" si="59"/>
        <v>0</v>
      </c>
      <c r="AA32" s="83">
        <f t="shared" si="71"/>
        <v>0</v>
      </c>
      <c r="AB32" s="83"/>
      <c r="AC32" s="137">
        <f t="shared" si="60"/>
        <v>0</v>
      </c>
      <c r="AD32" s="83">
        <f t="shared" si="72"/>
        <v>0</v>
      </c>
      <c r="AE32" s="83"/>
      <c r="AF32" s="137">
        <f t="shared" si="61"/>
        <v>0</v>
      </c>
      <c r="AG32" s="83">
        <f t="shared" si="73"/>
        <v>0</v>
      </c>
      <c r="AH32" s="84"/>
      <c r="AI32" s="148">
        <f t="shared" si="62"/>
        <v>0</v>
      </c>
      <c r="AJ32" s="83">
        <f t="shared" si="74"/>
        <v>0</v>
      </c>
      <c r="AK32" s="84"/>
      <c r="AL32" s="138">
        <f t="shared" si="63"/>
        <v>0</v>
      </c>
    </row>
    <row r="33" spans="2:38" s="130" customFormat="1" ht="15.75" x14ac:dyDescent="0.25">
      <c r="B33" s="152" t="s">
        <v>6</v>
      </c>
      <c r="C33" s="83"/>
      <c r="D33" s="83"/>
      <c r="E33" s="134">
        <f t="shared" si="52"/>
        <v>0</v>
      </c>
      <c r="F33" s="83">
        <f t="shared" si="64"/>
        <v>0</v>
      </c>
      <c r="G33" s="83"/>
      <c r="H33" s="137">
        <f t="shared" si="53"/>
        <v>0</v>
      </c>
      <c r="I33" s="83">
        <f t="shared" si="65"/>
        <v>0</v>
      </c>
      <c r="J33" s="83"/>
      <c r="K33" s="137">
        <f t="shared" si="54"/>
        <v>0</v>
      </c>
      <c r="L33" s="83">
        <f t="shared" si="66"/>
        <v>0</v>
      </c>
      <c r="M33" s="83"/>
      <c r="N33" s="137">
        <f t="shared" si="55"/>
        <v>0</v>
      </c>
      <c r="O33" s="83">
        <f t="shared" si="67"/>
        <v>0</v>
      </c>
      <c r="P33" s="83"/>
      <c r="Q33" s="137">
        <f t="shared" si="56"/>
        <v>0</v>
      </c>
      <c r="R33" s="83">
        <f t="shared" si="68"/>
        <v>0</v>
      </c>
      <c r="S33" s="83"/>
      <c r="T33" s="137">
        <f t="shared" si="57"/>
        <v>0</v>
      </c>
      <c r="U33" s="83">
        <f t="shared" si="69"/>
        <v>0</v>
      </c>
      <c r="V33" s="83"/>
      <c r="W33" s="137">
        <f t="shared" si="58"/>
        <v>0</v>
      </c>
      <c r="X33" s="83">
        <f t="shared" si="70"/>
        <v>0</v>
      </c>
      <c r="Y33" s="83"/>
      <c r="Z33" s="137">
        <f t="shared" si="59"/>
        <v>0</v>
      </c>
      <c r="AA33" s="83">
        <f t="shared" si="71"/>
        <v>0</v>
      </c>
      <c r="AB33" s="83"/>
      <c r="AC33" s="137">
        <f t="shared" si="60"/>
        <v>0</v>
      </c>
      <c r="AD33" s="83">
        <f t="shared" si="72"/>
        <v>0</v>
      </c>
      <c r="AE33" s="83"/>
      <c r="AF33" s="137">
        <f t="shared" si="61"/>
        <v>0</v>
      </c>
      <c r="AG33" s="83">
        <f t="shared" si="73"/>
        <v>0</v>
      </c>
      <c r="AH33" s="84"/>
      <c r="AI33" s="148">
        <f t="shared" si="62"/>
        <v>0</v>
      </c>
      <c r="AJ33" s="83">
        <f t="shared" si="74"/>
        <v>0</v>
      </c>
      <c r="AK33" s="84"/>
      <c r="AL33" s="138">
        <f t="shared" si="63"/>
        <v>0</v>
      </c>
    </row>
    <row r="34" spans="2:38" s="130" customFormat="1" ht="15.75" x14ac:dyDescent="0.25">
      <c r="B34" s="152" t="s">
        <v>7</v>
      </c>
      <c r="C34" s="83"/>
      <c r="D34" s="83"/>
      <c r="E34" s="134">
        <f t="shared" ref="E34" si="75">C34-D34</f>
        <v>0</v>
      </c>
      <c r="F34" s="83">
        <f t="shared" si="64"/>
        <v>0</v>
      </c>
      <c r="G34" s="83"/>
      <c r="H34" s="137">
        <f t="shared" ref="H34" si="76">F34-G34</f>
        <v>0</v>
      </c>
      <c r="I34" s="83">
        <f t="shared" si="65"/>
        <v>0</v>
      </c>
      <c r="J34" s="83"/>
      <c r="K34" s="137">
        <f t="shared" ref="K34" si="77">I34-J34</f>
        <v>0</v>
      </c>
      <c r="L34" s="83">
        <f t="shared" si="66"/>
        <v>0</v>
      </c>
      <c r="M34" s="83"/>
      <c r="N34" s="137">
        <f t="shared" ref="N34" si="78">L34-M34</f>
        <v>0</v>
      </c>
      <c r="O34" s="83">
        <f t="shared" si="67"/>
        <v>0</v>
      </c>
      <c r="P34" s="83"/>
      <c r="Q34" s="137">
        <f t="shared" ref="Q34" si="79">O34-P34</f>
        <v>0</v>
      </c>
      <c r="R34" s="83">
        <f t="shared" si="68"/>
        <v>0</v>
      </c>
      <c r="S34" s="83"/>
      <c r="T34" s="137">
        <f t="shared" ref="T34" si="80">R34-S34</f>
        <v>0</v>
      </c>
      <c r="U34" s="83">
        <f t="shared" si="69"/>
        <v>0</v>
      </c>
      <c r="V34" s="83"/>
      <c r="W34" s="137">
        <f t="shared" ref="W34" si="81">U34-V34</f>
        <v>0</v>
      </c>
      <c r="X34" s="83">
        <f t="shared" si="70"/>
        <v>0</v>
      </c>
      <c r="Y34" s="83"/>
      <c r="Z34" s="137">
        <f t="shared" ref="Z34" si="82">X34-Y34</f>
        <v>0</v>
      </c>
      <c r="AA34" s="83">
        <f t="shared" si="71"/>
        <v>0</v>
      </c>
      <c r="AB34" s="83"/>
      <c r="AC34" s="137">
        <f t="shared" ref="AC34" si="83">AA34-AB34</f>
        <v>0</v>
      </c>
      <c r="AD34" s="83">
        <f t="shared" si="72"/>
        <v>0</v>
      </c>
      <c r="AE34" s="83"/>
      <c r="AF34" s="137">
        <f t="shared" ref="AF34" si="84">AD34-AE34</f>
        <v>0</v>
      </c>
      <c r="AG34" s="83">
        <f t="shared" si="73"/>
        <v>0</v>
      </c>
      <c r="AH34" s="84"/>
      <c r="AI34" s="148">
        <f t="shared" ref="AI34" si="85">AG34-AH34</f>
        <v>0</v>
      </c>
      <c r="AJ34" s="83">
        <f t="shared" si="74"/>
        <v>0</v>
      </c>
      <c r="AK34" s="84"/>
      <c r="AL34" s="138">
        <f t="shared" ref="AL34" si="86">AJ34-AK34</f>
        <v>0</v>
      </c>
    </row>
    <row r="35" spans="2:38" s="130" customFormat="1" ht="15.75" x14ac:dyDescent="0.25">
      <c r="B35" s="152" t="s">
        <v>52</v>
      </c>
      <c r="C35" s="83"/>
      <c r="D35" s="83"/>
      <c r="E35" s="134">
        <f t="shared" ref="E35" si="87">C35-D35</f>
        <v>0</v>
      </c>
      <c r="F35" s="83">
        <f t="shared" si="64"/>
        <v>0</v>
      </c>
      <c r="G35" s="83"/>
      <c r="H35" s="137">
        <f t="shared" ref="H35" si="88">F35-G35</f>
        <v>0</v>
      </c>
      <c r="I35" s="83">
        <f t="shared" si="65"/>
        <v>0</v>
      </c>
      <c r="J35" s="83"/>
      <c r="K35" s="137">
        <f t="shared" ref="K35" si="89">I35-J35</f>
        <v>0</v>
      </c>
      <c r="L35" s="83">
        <f t="shared" si="66"/>
        <v>0</v>
      </c>
      <c r="M35" s="83"/>
      <c r="N35" s="137">
        <f t="shared" ref="N35" si="90">L35-M35</f>
        <v>0</v>
      </c>
      <c r="O35" s="83">
        <f t="shared" si="67"/>
        <v>0</v>
      </c>
      <c r="P35" s="83"/>
      <c r="Q35" s="137">
        <f t="shared" ref="Q35" si="91">O35-P35</f>
        <v>0</v>
      </c>
      <c r="R35" s="83">
        <f t="shared" si="68"/>
        <v>0</v>
      </c>
      <c r="S35" s="83"/>
      <c r="T35" s="137">
        <f t="shared" ref="T35" si="92">R35-S35</f>
        <v>0</v>
      </c>
      <c r="U35" s="83">
        <f t="shared" si="69"/>
        <v>0</v>
      </c>
      <c r="V35" s="83"/>
      <c r="W35" s="137">
        <f t="shared" ref="W35" si="93">U35-V35</f>
        <v>0</v>
      </c>
      <c r="X35" s="83">
        <f t="shared" si="70"/>
        <v>0</v>
      </c>
      <c r="Y35" s="83"/>
      <c r="Z35" s="137">
        <f t="shared" ref="Z35" si="94">X35-Y35</f>
        <v>0</v>
      </c>
      <c r="AA35" s="83">
        <f t="shared" si="71"/>
        <v>0</v>
      </c>
      <c r="AB35" s="83"/>
      <c r="AC35" s="137">
        <f t="shared" ref="AC35" si="95">AA35-AB35</f>
        <v>0</v>
      </c>
      <c r="AD35" s="83">
        <f t="shared" si="72"/>
        <v>0</v>
      </c>
      <c r="AE35" s="83"/>
      <c r="AF35" s="137">
        <f t="shared" ref="AF35" si="96">AD35-AE35</f>
        <v>0</v>
      </c>
      <c r="AG35" s="83">
        <f t="shared" si="73"/>
        <v>0</v>
      </c>
      <c r="AH35" s="84"/>
      <c r="AI35" s="148">
        <f t="shared" ref="AI35" si="97">AG35-AH35</f>
        <v>0</v>
      </c>
      <c r="AJ35" s="83">
        <f t="shared" si="74"/>
        <v>0</v>
      </c>
      <c r="AK35" s="84"/>
      <c r="AL35" s="138">
        <f t="shared" ref="AL35" si="98">AJ35-AK35</f>
        <v>0</v>
      </c>
    </row>
    <row r="36" spans="2:38" s="130" customFormat="1" ht="15.75" hidden="1" outlineLevel="1" x14ac:dyDescent="0.25">
      <c r="B36" s="85"/>
      <c r="C36" s="83"/>
      <c r="D36" s="83"/>
      <c r="E36" s="134">
        <f t="shared" ref="E36" si="99">C36-D36</f>
        <v>0</v>
      </c>
      <c r="F36" s="83">
        <f t="shared" si="64"/>
        <v>0</v>
      </c>
      <c r="G36" s="83"/>
      <c r="H36" s="137">
        <f t="shared" ref="H36" si="100">F36-G36</f>
        <v>0</v>
      </c>
      <c r="I36" s="83">
        <f t="shared" si="65"/>
        <v>0</v>
      </c>
      <c r="J36" s="83"/>
      <c r="K36" s="137">
        <f t="shared" ref="K36" si="101">I36-J36</f>
        <v>0</v>
      </c>
      <c r="L36" s="83">
        <f t="shared" si="66"/>
        <v>0</v>
      </c>
      <c r="M36" s="83"/>
      <c r="N36" s="137">
        <f t="shared" ref="N36" si="102">L36-M36</f>
        <v>0</v>
      </c>
      <c r="O36" s="83">
        <f t="shared" si="67"/>
        <v>0</v>
      </c>
      <c r="P36" s="83"/>
      <c r="Q36" s="137">
        <f t="shared" ref="Q36" si="103">O36-P36</f>
        <v>0</v>
      </c>
      <c r="R36" s="83">
        <f t="shared" si="68"/>
        <v>0</v>
      </c>
      <c r="S36" s="83"/>
      <c r="T36" s="137">
        <f t="shared" ref="T36" si="104">R36-S36</f>
        <v>0</v>
      </c>
      <c r="U36" s="83">
        <f t="shared" si="69"/>
        <v>0</v>
      </c>
      <c r="V36" s="83"/>
      <c r="W36" s="137">
        <f t="shared" ref="W36" si="105">U36-V36</f>
        <v>0</v>
      </c>
      <c r="X36" s="83">
        <f t="shared" si="70"/>
        <v>0</v>
      </c>
      <c r="Y36" s="83"/>
      <c r="Z36" s="137">
        <f t="shared" ref="Z36" si="106">X36-Y36</f>
        <v>0</v>
      </c>
      <c r="AA36" s="83">
        <f t="shared" si="71"/>
        <v>0</v>
      </c>
      <c r="AB36" s="83"/>
      <c r="AC36" s="137">
        <f t="shared" ref="AC36" si="107">AA36-AB36</f>
        <v>0</v>
      </c>
      <c r="AD36" s="83">
        <f t="shared" si="72"/>
        <v>0</v>
      </c>
      <c r="AE36" s="83"/>
      <c r="AF36" s="137">
        <f t="shared" ref="AF36" si="108">AD36-AE36</f>
        <v>0</v>
      </c>
      <c r="AG36" s="83">
        <f t="shared" si="73"/>
        <v>0</v>
      </c>
      <c r="AH36" s="84"/>
      <c r="AI36" s="148">
        <f t="shared" ref="AI36" si="109">AG36-AH36</f>
        <v>0</v>
      </c>
      <c r="AJ36" s="83">
        <f t="shared" si="74"/>
        <v>0</v>
      </c>
      <c r="AK36" s="84"/>
      <c r="AL36" s="138">
        <f t="shared" ref="AL36" si="110">AJ36-AK36</f>
        <v>0</v>
      </c>
    </row>
    <row r="37" spans="2:38" s="130" customFormat="1" ht="15.75" hidden="1" outlineLevel="1" x14ac:dyDescent="0.25">
      <c r="B37" s="85"/>
      <c r="C37" s="83"/>
      <c r="D37" s="83"/>
      <c r="E37" s="134">
        <f t="shared" si="52"/>
        <v>0</v>
      </c>
      <c r="F37" s="83">
        <f t="shared" si="64"/>
        <v>0</v>
      </c>
      <c r="G37" s="83"/>
      <c r="H37" s="137">
        <f t="shared" si="53"/>
        <v>0</v>
      </c>
      <c r="I37" s="83">
        <f t="shared" si="65"/>
        <v>0</v>
      </c>
      <c r="J37" s="83"/>
      <c r="K37" s="137">
        <f t="shared" si="54"/>
        <v>0</v>
      </c>
      <c r="L37" s="83">
        <f t="shared" si="66"/>
        <v>0</v>
      </c>
      <c r="M37" s="83"/>
      <c r="N37" s="137">
        <f t="shared" si="55"/>
        <v>0</v>
      </c>
      <c r="O37" s="83">
        <f t="shared" si="67"/>
        <v>0</v>
      </c>
      <c r="P37" s="83"/>
      <c r="Q37" s="137">
        <f t="shared" si="56"/>
        <v>0</v>
      </c>
      <c r="R37" s="83">
        <f t="shared" si="68"/>
        <v>0</v>
      </c>
      <c r="S37" s="83"/>
      <c r="T37" s="137">
        <f t="shared" si="57"/>
        <v>0</v>
      </c>
      <c r="U37" s="83">
        <f t="shared" si="69"/>
        <v>0</v>
      </c>
      <c r="V37" s="83"/>
      <c r="W37" s="137">
        <f t="shared" si="58"/>
        <v>0</v>
      </c>
      <c r="X37" s="83">
        <f t="shared" si="70"/>
        <v>0</v>
      </c>
      <c r="Y37" s="83"/>
      <c r="Z37" s="137">
        <f t="shared" si="59"/>
        <v>0</v>
      </c>
      <c r="AA37" s="83">
        <f t="shared" si="71"/>
        <v>0</v>
      </c>
      <c r="AB37" s="83"/>
      <c r="AC37" s="137">
        <f t="shared" si="60"/>
        <v>0</v>
      </c>
      <c r="AD37" s="83">
        <f t="shared" si="72"/>
        <v>0</v>
      </c>
      <c r="AE37" s="83"/>
      <c r="AF37" s="137">
        <f t="shared" si="61"/>
        <v>0</v>
      </c>
      <c r="AG37" s="83">
        <f t="shared" si="73"/>
        <v>0</v>
      </c>
      <c r="AH37" s="84"/>
      <c r="AI37" s="148">
        <f t="shared" si="62"/>
        <v>0</v>
      </c>
      <c r="AJ37" s="83">
        <f t="shared" si="74"/>
        <v>0</v>
      </c>
      <c r="AK37" s="84"/>
      <c r="AL37" s="138">
        <f t="shared" si="63"/>
        <v>0</v>
      </c>
    </row>
    <row r="38" spans="2:38" s="130" customFormat="1" ht="15.75" hidden="1" outlineLevel="1" x14ac:dyDescent="0.25">
      <c r="B38" s="85"/>
      <c r="C38" s="83"/>
      <c r="D38" s="83"/>
      <c r="E38" s="134">
        <f t="shared" si="52"/>
        <v>0</v>
      </c>
      <c r="F38" s="83">
        <f t="shared" si="64"/>
        <v>0</v>
      </c>
      <c r="G38" s="83"/>
      <c r="H38" s="137">
        <f t="shared" si="53"/>
        <v>0</v>
      </c>
      <c r="I38" s="83">
        <f t="shared" si="65"/>
        <v>0</v>
      </c>
      <c r="J38" s="83"/>
      <c r="K38" s="137">
        <f t="shared" si="54"/>
        <v>0</v>
      </c>
      <c r="L38" s="83">
        <f t="shared" si="66"/>
        <v>0</v>
      </c>
      <c r="M38" s="83"/>
      <c r="N38" s="137">
        <f t="shared" si="55"/>
        <v>0</v>
      </c>
      <c r="O38" s="83">
        <f t="shared" si="67"/>
        <v>0</v>
      </c>
      <c r="P38" s="83"/>
      <c r="Q38" s="137">
        <f t="shared" si="56"/>
        <v>0</v>
      </c>
      <c r="R38" s="83">
        <f t="shared" si="68"/>
        <v>0</v>
      </c>
      <c r="S38" s="83"/>
      <c r="T38" s="137">
        <f t="shared" si="57"/>
        <v>0</v>
      </c>
      <c r="U38" s="83">
        <f t="shared" si="69"/>
        <v>0</v>
      </c>
      <c r="V38" s="83"/>
      <c r="W38" s="137">
        <f t="shared" si="58"/>
        <v>0</v>
      </c>
      <c r="X38" s="83">
        <f t="shared" si="70"/>
        <v>0</v>
      </c>
      <c r="Y38" s="83"/>
      <c r="Z38" s="137">
        <f t="shared" si="59"/>
        <v>0</v>
      </c>
      <c r="AA38" s="83">
        <f t="shared" si="71"/>
        <v>0</v>
      </c>
      <c r="AB38" s="83"/>
      <c r="AC38" s="137">
        <f t="shared" si="60"/>
        <v>0</v>
      </c>
      <c r="AD38" s="83">
        <f t="shared" si="72"/>
        <v>0</v>
      </c>
      <c r="AE38" s="83"/>
      <c r="AF38" s="137">
        <f t="shared" si="61"/>
        <v>0</v>
      </c>
      <c r="AG38" s="83">
        <f t="shared" si="73"/>
        <v>0</v>
      </c>
      <c r="AH38" s="84"/>
      <c r="AI38" s="148">
        <f t="shared" si="62"/>
        <v>0</v>
      </c>
      <c r="AJ38" s="83">
        <f t="shared" si="74"/>
        <v>0</v>
      </c>
      <c r="AK38" s="84"/>
      <c r="AL38" s="138">
        <f t="shared" si="63"/>
        <v>0</v>
      </c>
    </row>
    <row r="39" spans="2:38" s="130" customFormat="1" ht="15.75" collapsed="1" x14ac:dyDescent="0.25">
      <c r="B39" s="153" t="s">
        <v>8</v>
      </c>
      <c r="C39" s="137">
        <f>SUM(C40:C49)</f>
        <v>0</v>
      </c>
      <c r="D39" s="137">
        <f t="shared" ref="D39:AL39" si="111">SUM(D40:D49)</f>
        <v>0</v>
      </c>
      <c r="E39" s="137">
        <f t="shared" si="111"/>
        <v>0</v>
      </c>
      <c r="F39" s="137">
        <f t="shared" si="111"/>
        <v>0</v>
      </c>
      <c r="G39" s="137">
        <f t="shared" si="111"/>
        <v>0</v>
      </c>
      <c r="H39" s="137">
        <f t="shared" si="111"/>
        <v>0</v>
      </c>
      <c r="I39" s="137">
        <f t="shared" si="111"/>
        <v>0</v>
      </c>
      <c r="J39" s="137">
        <f t="shared" si="111"/>
        <v>0</v>
      </c>
      <c r="K39" s="137">
        <f t="shared" si="111"/>
        <v>0</v>
      </c>
      <c r="L39" s="137">
        <f t="shared" si="111"/>
        <v>0</v>
      </c>
      <c r="M39" s="137">
        <f t="shared" si="111"/>
        <v>0</v>
      </c>
      <c r="N39" s="137">
        <f t="shared" si="111"/>
        <v>0</v>
      </c>
      <c r="O39" s="137">
        <f t="shared" si="111"/>
        <v>0</v>
      </c>
      <c r="P39" s="137">
        <f t="shared" si="111"/>
        <v>0</v>
      </c>
      <c r="Q39" s="137">
        <f t="shared" si="111"/>
        <v>0</v>
      </c>
      <c r="R39" s="137">
        <f t="shared" si="111"/>
        <v>0</v>
      </c>
      <c r="S39" s="137">
        <f t="shared" si="111"/>
        <v>0</v>
      </c>
      <c r="T39" s="137">
        <f t="shared" si="111"/>
        <v>0</v>
      </c>
      <c r="U39" s="137">
        <f t="shared" si="111"/>
        <v>0</v>
      </c>
      <c r="V39" s="137">
        <f t="shared" si="111"/>
        <v>0</v>
      </c>
      <c r="W39" s="137">
        <f t="shared" si="111"/>
        <v>0</v>
      </c>
      <c r="X39" s="137">
        <f t="shared" si="111"/>
        <v>0</v>
      </c>
      <c r="Y39" s="137">
        <f t="shared" si="111"/>
        <v>0</v>
      </c>
      <c r="Z39" s="137">
        <f t="shared" si="111"/>
        <v>0</v>
      </c>
      <c r="AA39" s="137">
        <f t="shared" si="111"/>
        <v>0</v>
      </c>
      <c r="AB39" s="137">
        <f t="shared" si="111"/>
        <v>0</v>
      </c>
      <c r="AC39" s="137">
        <f t="shared" si="111"/>
        <v>0</v>
      </c>
      <c r="AD39" s="137">
        <f t="shared" si="111"/>
        <v>0</v>
      </c>
      <c r="AE39" s="137">
        <f t="shared" si="111"/>
        <v>0</v>
      </c>
      <c r="AF39" s="137">
        <f t="shared" si="111"/>
        <v>0</v>
      </c>
      <c r="AG39" s="137">
        <f t="shared" si="111"/>
        <v>0</v>
      </c>
      <c r="AH39" s="148">
        <f t="shared" si="111"/>
        <v>0</v>
      </c>
      <c r="AI39" s="148">
        <f t="shared" si="111"/>
        <v>0</v>
      </c>
      <c r="AJ39" s="137">
        <f t="shared" si="111"/>
        <v>0</v>
      </c>
      <c r="AK39" s="148">
        <f t="shared" si="111"/>
        <v>0</v>
      </c>
      <c r="AL39" s="138">
        <f t="shared" si="111"/>
        <v>0</v>
      </c>
    </row>
    <row r="40" spans="2:38" s="130" customFormat="1" ht="15.75" x14ac:dyDescent="0.25">
      <c r="B40" s="152" t="s">
        <v>9</v>
      </c>
      <c r="C40" s="83"/>
      <c r="D40" s="83"/>
      <c r="E40" s="137">
        <f t="shared" ref="E40:E49" si="112">C40-D40</f>
        <v>0</v>
      </c>
      <c r="F40" s="83">
        <f>$C40</f>
        <v>0</v>
      </c>
      <c r="G40" s="83"/>
      <c r="H40" s="137">
        <f t="shared" ref="H40:H49" si="113">F40-G40</f>
        <v>0</v>
      </c>
      <c r="I40" s="83">
        <f>$C40</f>
        <v>0</v>
      </c>
      <c r="J40" s="83"/>
      <c r="K40" s="137">
        <f t="shared" ref="K40:K49" si="114">I40-J40</f>
        <v>0</v>
      </c>
      <c r="L40" s="83">
        <f>$C40</f>
        <v>0</v>
      </c>
      <c r="M40" s="83"/>
      <c r="N40" s="137">
        <f t="shared" ref="N40:N49" si="115">L40-M40</f>
        <v>0</v>
      </c>
      <c r="O40" s="83">
        <f>$C40</f>
        <v>0</v>
      </c>
      <c r="P40" s="83"/>
      <c r="Q40" s="137">
        <f t="shared" ref="Q40:Q49" si="116">O40-P40</f>
        <v>0</v>
      </c>
      <c r="R40" s="83">
        <f>$C40</f>
        <v>0</v>
      </c>
      <c r="S40" s="83"/>
      <c r="T40" s="137">
        <f t="shared" ref="T40:T49" si="117">R40-S40</f>
        <v>0</v>
      </c>
      <c r="U40" s="83">
        <f>$C40</f>
        <v>0</v>
      </c>
      <c r="V40" s="83"/>
      <c r="W40" s="137">
        <f t="shared" ref="W40:W49" si="118">U40-V40</f>
        <v>0</v>
      </c>
      <c r="X40" s="83">
        <f>$C40</f>
        <v>0</v>
      </c>
      <c r="Y40" s="83"/>
      <c r="Z40" s="137">
        <f t="shared" ref="Z40:Z49" si="119">X40-Y40</f>
        <v>0</v>
      </c>
      <c r="AA40" s="83">
        <f t="shared" ref="AA40:AA49" si="120">$C40</f>
        <v>0</v>
      </c>
      <c r="AB40" s="83"/>
      <c r="AC40" s="137">
        <f t="shared" ref="AC40:AC49" si="121">AA40-AB40</f>
        <v>0</v>
      </c>
      <c r="AD40" s="83">
        <f t="shared" ref="AD40:AD49" si="122">$C40</f>
        <v>0</v>
      </c>
      <c r="AE40" s="83"/>
      <c r="AF40" s="137">
        <f t="shared" ref="AF40:AF49" si="123">AD40-AE40</f>
        <v>0</v>
      </c>
      <c r="AG40" s="83">
        <f>$C40</f>
        <v>0</v>
      </c>
      <c r="AH40" s="84"/>
      <c r="AI40" s="148">
        <f t="shared" ref="AI40:AI49" si="124">AG40-AH40</f>
        <v>0</v>
      </c>
      <c r="AJ40" s="83">
        <f>$C40</f>
        <v>0</v>
      </c>
      <c r="AK40" s="84"/>
      <c r="AL40" s="138">
        <f t="shared" ref="AL40:AL49" si="125">AJ40-AK40</f>
        <v>0</v>
      </c>
    </row>
    <row r="41" spans="2:38" s="130" customFormat="1" ht="15.75" x14ac:dyDescent="0.25">
      <c r="B41" s="152" t="s">
        <v>10</v>
      </c>
      <c r="C41" s="83"/>
      <c r="D41" s="83"/>
      <c r="E41" s="137">
        <f t="shared" si="112"/>
        <v>0</v>
      </c>
      <c r="F41" s="83">
        <f t="shared" ref="F41:F49" si="126">$C41</f>
        <v>0</v>
      </c>
      <c r="G41" s="83"/>
      <c r="H41" s="137">
        <f t="shared" si="113"/>
        <v>0</v>
      </c>
      <c r="I41" s="83">
        <f t="shared" ref="I41:I49" si="127">$C41</f>
        <v>0</v>
      </c>
      <c r="J41" s="83"/>
      <c r="K41" s="137">
        <f t="shared" si="114"/>
        <v>0</v>
      </c>
      <c r="L41" s="83">
        <f t="shared" ref="L41:L49" si="128">$C41</f>
        <v>0</v>
      </c>
      <c r="M41" s="83"/>
      <c r="N41" s="137">
        <f t="shared" si="115"/>
        <v>0</v>
      </c>
      <c r="O41" s="83">
        <f t="shared" ref="O41:O49" si="129">$C41</f>
        <v>0</v>
      </c>
      <c r="P41" s="83"/>
      <c r="Q41" s="137">
        <f t="shared" si="116"/>
        <v>0</v>
      </c>
      <c r="R41" s="83">
        <f t="shared" ref="R41:R49" si="130">$C41</f>
        <v>0</v>
      </c>
      <c r="S41" s="83"/>
      <c r="T41" s="137">
        <f t="shared" si="117"/>
        <v>0</v>
      </c>
      <c r="U41" s="83">
        <f t="shared" ref="U41:U49" si="131">$C41</f>
        <v>0</v>
      </c>
      <c r="V41" s="83"/>
      <c r="W41" s="137">
        <f t="shared" si="118"/>
        <v>0</v>
      </c>
      <c r="X41" s="83">
        <f t="shared" ref="X41:X49" si="132">$C41</f>
        <v>0</v>
      </c>
      <c r="Y41" s="83"/>
      <c r="Z41" s="137">
        <f t="shared" si="119"/>
        <v>0</v>
      </c>
      <c r="AA41" s="83">
        <f t="shared" si="120"/>
        <v>0</v>
      </c>
      <c r="AB41" s="83"/>
      <c r="AC41" s="137">
        <f t="shared" si="121"/>
        <v>0</v>
      </c>
      <c r="AD41" s="83">
        <f t="shared" si="122"/>
        <v>0</v>
      </c>
      <c r="AE41" s="83"/>
      <c r="AF41" s="137">
        <f t="shared" si="123"/>
        <v>0</v>
      </c>
      <c r="AG41" s="83">
        <f t="shared" ref="AG41:AG49" si="133">$C41</f>
        <v>0</v>
      </c>
      <c r="AH41" s="84"/>
      <c r="AI41" s="148">
        <f t="shared" si="124"/>
        <v>0</v>
      </c>
      <c r="AJ41" s="83">
        <f t="shared" ref="AJ41:AJ49" si="134">$C41</f>
        <v>0</v>
      </c>
      <c r="AK41" s="84"/>
      <c r="AL41" s="138">
        <f t="shared" si="125"/>
        <v>0</v>
      </c>
    </row>
    <row r="42" spans="2:38" s="130" customFormat="1" ht="15.75" x14ac:dyDescent="0.25">
      <c r="B42" s="152" t="s">
        <v>11</v>
      </c>
      <c r="C42" s="83"/>
      <c r="D42" s="83"/>
      <c r="E42" s="137">
        <f t="shared" si="112"/>
        <v>0</v>
      </c>
      <c r="F42" s="83">
        <f t="shared" si="126"/>
        <v>0</v>
      </c>
      <c r="G42" s="83"/>
      <c r="H42" s="137">
        <f t="shared" si="113"/>
        <v>0</v>
      </c>
      <c r="I42" s="83">
        <f t="shared" si="127"/>
        <v>0</v>
      </c>
      <c r="J42" s="83"/>
      <c r="K42" s="137">
        <f t="shared" si="114"/>
        <v>0</v>
      </c>
      <c r="L42" s="83">
        <f t="shared" si="128"/>
        <v>0</v>
      </c>
      <c r="M42" s="83"/>
      <c r="N42" s="137">
        <f t="shared" si="115"/>
        <v>0</v>
      </c>
      <c r="O42" s="83">
        <f t="shared" si="129"/>
        <v>0</v>
      </c>
      <c r="P42" s="83"/>
      <c r="Q42" s="137">
        <f t="shared" si="116"/>
        <v>0</v>
      </c>
      <c r="R42" s="83">
        <f t="shared" si="130"/>
        <v>0</v>
      </c>
      <c r="S42" s="83"/>
      <c r="T42" s="137">
        <f t="shared" si="117"/>
        <v>0</v>
      </c>
      <c r="U42" s="83">
        <f t="shared" si="131"/>
        <v>0</v>
      </c>
      <c r="V42" s="83"/>
      <c r="W42" s="137">
        <f t="shared" si="118"/>
        <v>0</v>
      </c>
      <c r="X42" s="83">
        <f t="shared" si="132"/>
        <v>0</v>
      </c>
      <c r="Y42" s="83"/>
      <c r="Z42" s="137">
        <f t="shared" si="119"/>
        <v>0</v>
      </c>
      <c r="AA42" s="83">
        <f t="shared" si="120"/>
        <v>0</v>
      </c>
      <c r="AB42" s="83"/>
      <c r="AC42" s="137">
        <f t="shared" si="121"/>
        <v>0</v>
      </c>
      <c r="AD42" s="83">
        <f t="shared" si="122"/>
        <v>0</v>
      </c>
      <c r="AE42" s="83"/>
      <c r="AF42" s="137">
        <f t="shared" si="123"/>
        <v>0</v>
      </c>
      <c r="AG42" s="83">
        <f t="shared" si="133"/>
        <v>0</v>
      </c>
      <c r="AH42" s="84"/>
      <c r="AI42" s="148">
        <f t="shared" si="124"/>
        <v>0</v>
      </c>
      <c r="AJ42" s="83">
        <f t="shared" si="134"/>
        <v>0</v>
      </c>
      <c r="AK42" s="84"/>
      <c r="AL42" s="138">
        <f t="shared" si="125"/>
        <v>0</v>
      </c>
    </row>
    <row r="43" spans="2:38" s="130" customFormat="1" ht="15.75" x14ac:dyDescent="0.25">
      <c r="B43" s="152" t="s">
        <v>12</v>
      </c>
      <c r="C43" s="83"/>
      <c r="D43" s="83"/>
      <c r="E43" s="137">
        <f t="shared" si="112"/>
        <v>0</v>
      </c>
      <c r="F43" s="83">
        <f t="shared" si="126"/>
        <v>0</v>
      </c>
      <c r="G43" s="83"/>
      <c r="H43" s="137">
        <f t="shared" si="113"/>
        <v>0</v>
      </c>
      <c r="I43" s="83">
        <f t="shared" si="127"/>
        <v>0</v>
      </c>
      <c r="J43" s="83"/>
      <c r="K43" s="137">
        <f t="shared" si="114"/>
        <v>0</v>
      </c>
      <c r="L43" s="83">
        <f t="shared" si="128"/>
        <v>0</v>
      </c>
      <c r="M43" s="83"/>
      <c r="N43" s="137">
        <f t="shared" si="115"/>
        <v>0</v>
      </c>
      <c r="O43" s="83">
        <f t="shared" si="129"/>
        <v>0</v>
      </c>
      <c r="P43" s="83"/>
      <c r="Q43" s="137">
        <f t="shared" si="116"/>
        <v>0</v>
      </c>
      <c r="R43" s="83">
        <f t="shared" si="130"/>
        <v>0</v>
      </c>
      <c r="S43" s="83"/>
      <c r="T43" s="137">
        <f t="shared" si="117"/>
        <v>0</v>
      </c>
      <c r="U43" s="83">
        <f t="shared" si="131"/>
        <v>0</v>
      </c>
      <c r="V43" s="83"/>
      <c r="W43" s="137">
        <f t="shared" si="118"/>
        <v>0</v>
      </c>
      <c r="X43" s="83">
        <f t="shared" si="132"/>
        <v>0</v>
      </c>
      <c r="Y43" s="83"/>
      <c r="Z43" s="137">
        <f t="shared" si="119"/>
        <v>0</v>
      </c>
      <c r="AA43" s="83">
        <f t="shared" si="120"/>
        <v>0</v>
      </c>
      <c r="AB43" s="83"/>
      <c r="AC43" s="137">
        <f t="shared" si="121"/>
        <v>0</v>
      </c>
      <c r="AD43" s="83">
        <f t="shared" si="122"/>
        <v>0</v>
      </c>
      <c r="AE43" s="83"/>
      <c r="AF43" s="137">
        <f t="shared" si="123"/>
        <v>0</v>
      </c>
      <c r="AG43" s="83">
        <f t="shared" si="133"/>
        <v>0</v>
      </c>
      <c r="AH43" s="84"/>
      <c r="AI43" s="148">
        <f t="shared" si="124"/>
        <v>0</v>
      </c>
      <c r="AJ43" s="83">
        <f t="shared" si="134"/>
        <v>0</v>
      </c>
      <c r="AK43" s="84"/>
      <c r="AL43" s="138">
        <f t="shared" si="125"/>
        <v>0</v>
      </c>
    </row>
    <row r="44" spans="2:38" s="130" customFormat="1" ht="15.75" x14ac:dyDescent="0.25">
      <c r="B44" s="152" t="s">
        <v>13</v>
      </c>
      <c r="C44" s="83"/>
      <c r="D44" s="83"/>
      <c r="E44" s="137">
        <f t="shared" si="112"/>
        <v>0</v>
      </c>
      <c r="F44" s="83">
        <f t="shared" si="126"/>
        <v>0</v>
      </c>
      <c r="G44" s="83"/>
      <c r="H44" s="137">
        <f t="shared" si="113"/>
        <v>0</v>
      </c>
      <c r="I44" s="83">
        <f t="shared" si="127"/>
        <v>0</v>
      </c>
      <c r="J44" s="83"/>
      <c r="K44" s="137">
        <f t="shared" si="114"/>
        <v>0</v>
      </c>
      <c r="L44" s="83">
        <f t="shared" si="128"/>
        <v>0</v>
      </c>
      <c r="M44" s="83"/>
      <c r="N44" s="137">
        <f t="shared" si="115"/>
        <v>0</v>
      </c>
      <c r="O44" s="83">
        <f t="shared" si="129"/>
        <v>0</v>
      </c>
      <c r="P44" s="83"/>
      <c r="Q44" s="137">
        <f t="shared" si="116"/>
        <v>0</v>
      </c>
      <c r="R44" s="83">
        <f t="shared" si="130"/>
        <v>0</v>
      </c>
      <c r="S44" s="83"/>
      <c r="T44" s="137">
        <f t="shared" si="117"/>
        <v>0</v>
      </c>
      <c r="U44" s="83">
        <f t="shared" si="131"/>
        <v>0</v>
      </c>
      <c r="V44" s="83"/>
      <c r="W44" s="137">
        <f t="shared" si="118"/>
        <v>0</v>
      </c>
      <c r="X44" s="83">
        <f t="shared" si="132"/>
        <v>0</v>
      </c>
      <c r="Y44" s="83"/>
      <c r="Z44" s="137">
        <f t="shared" si="119"/>
        <v>0</v>
      </c>
      <c r="AA44" s="83">
        <f t="shared" si="120"/>
        <v>0</v>
      </c>
      <c r="AB44" s="83"/>
      <c r="AC44" s="137">
        <f t="shared" si="121"/>
        <v>0</v>
      </c>
      <c r="AD44" s="83">
        <f t="shared" si="122"/>
        <v>0</v>
      </c>
      <c r="AE44" s="83"/>
      <c r="AF44" s="137">
        <f t="shared" si="123"/>
        <v>0</v>
      </c>
      <c r="AG44" s="83">
        <f t="shared" si="133"/>
        <v>0</v>
      </c>
      <c r="AH44" s="84"/>
      <c r="AI44" s="148">
        <f t="shared" si="124"/>
        <v>0</v>
      </c>
      <c r="AJ44" s="83">
        <f t="shared" si="134"/>
        <v>0</v>
      </c>
      <c r="AK44" s="84"/>
      <c r="AL44" s="138">
        <f t="shared" si="125"/>
        <v>0</v>
      </c>
    </row>
    <row r="45" spans="2:38" s="130" customFormat="1" ht="15.75" x14ac:dyDescent="0.25">
      <c r="B45" s="152" t="s">
        <v>14</v>
      </c>
      <c r="C45" s="83"/>
      <c r="D45" s="83"/>
      <c r="E45" s="137">
        <f t="shared" si="112"/>
        <v>0</v>
      </c>
      <c r="F45" s="83">
        <f t="shared" si="126"/>
        <v>0</v>
      </c>
      <c r="G45" s="83"/>
      <c r="H45" s="137">
        <f t="shared" si="113"/>
        <v>0</v>
      </c>
      <c r="I45" s="83">
        <f t="shared" si="127"/>
        <v>0</v>
      </c>
      <c r="J45" s="83"/>
      <c r="K45" s="137">
        <f t="shared" si="114"/>
        <v>0</v>
      </c>
      <c r="L45" s="83">
        <f t="shared" si="128"/>
        <v>0</v>
      </c>
      <c r="M45" s="83"/>
      <c r="N45" s="137">
        <f t="shared" si="115"/>
        <v>0</v>
      </c>
      <c r="O45" s="83">
        <f t="shared" si="129"/>
        <v>0</v>
      </c>
      <c r="P45" s="83"/>
      <c r="Q45" s="137">
        <f t="shared" si="116"/>
        <v>0</v>
      </c>
      <c r="R45" s="83">
        <f t="shared" si="130"/>
        <v>0</v>
      </c>
      <c r="S45" s="83"/>
      <c r="T45" s="137">
        <f t="shared" si="117"/>
        <v>0</v>
      </c>
      <c r="U45" s="83">
        <f t="shared" si="131"/>
        <v>0</v>
      </c>
      <c r="V45" s="83"/>
      <c r="W45" s="137">
        <f t="shared" si="118"/>
        <v>0</v>
      </c>
      <c r="X45" s="83">
        <f t="shared" si="132"/>
        <v>0</v>
      </c>
      <c r="Y45" s="83"/>
      <c r="Z45" s="137">
        <f t="shared" si="119"/>
        <v>0</v>
      </c>
      <c r="AA45" s="83">
        <f t="shared" si="120"/>
        <v>0</v>
      </c>
      <c r="AB45" s="83"/>
      <c r="AC45" s="137">
        <f t="shared" si="121"/>
        <v>0</v>
      </c>
      <c r="AD45" s="83">
        <f t="shared" si="122"/>
        <v>0</v>
      </c>
      <c r="AE45" s="83"/>
      <c r="AF45" s="137">
        <f t="shared" si="123"/>
        <v>0</v>
      </c>
      <c r="AG45" s="83">
        <f t="shared" si="133"/>
        <v>0</v>
      </c>
      <c r="AH45" s="84"/>
      <c r="AI45" s="148">
        <f t="shared" si="124"/>
        <v>0</v>
      </c>
      <c r="AJ45" s="83">
        <f t="shared" si="134"/>
        <v>0</v>
      </c>
      <c r="AK45" s="84"/>
      <c r="AL45" s="138">
        <f t="shared" si="125"/>
        <v>0</v>
      </c>
    </row>
    <row r="46" spans="2:38" s="130" customFormat="1" ht="15.75" x14ac:dyDescent="0.25">
      <c r="B46" s="152" t="s">
        <v>53</v>
      </c>
      <c r="C46" s="83"/>
      <c r="D46" s="83"/>
      <c r="E46" s="137">
        <f t="shared" ref="E46:E48" si="135">C46-D46</f>
        <v>0</v>
      </c>
      <c r="F46" s="83">
        <f t="shared" si="126"/>
        <v>0</v>
      </c>
      <c r="G46" s="83"/>
      <c r="H46" s="137">
        <f t="shared" ref="H46:H48" si="136">F46-G46</f>
        <v>0</v>
      </c>
      <c r="I46" s="83">
        <f t="shared" si="127"/>
        <v>0</v>
      </c>
      <c r="J46" s="83"/>
      <c r="K46" s="137">
        <f t="shared" ref="K46:K48" si="137">I46-J46</f>
        <v>0</v>
      </c>
      <c r="L46" s="83">
        <f t="shared" si="128"/>
        <v>0</v>
      </c>
      <c r="M46" s="83"/>
      <c r="N46" s="137">
        <f t="shared" ref="N46:N48" si="138">L46-M46</f>
        <v>0</v>
      </c>
      <c r="O46" s="83">
        <f t="shared" si="129"/>
        <v>0</v>
      </c>
      <c r="P46" s="83"/>
      <c r="Q46" s="137">
        <f t="shared" ref="Q46:Q48" si="139">O46-P46</f>
        <v>0</v>
      </c>
      <c r="R46" s="83">
        <f t="shared" si="130"/>
        <v>0</v>
      </c>
      <c r="S46" s="83"/>
      <c r="T46" s="137">
        <f t="shared" ref="T46:T48" si="140">R46-S46</f>
        <v>0</v>
      </c>
      <c r="U46" s="83">
        <f t="shared" si="131"/>
        <v>0</v>
      </c>
      <c r="V46" s="83"/>
      <c r="W46" s="137">
        <f t="shared" ref="W46:W48" si="141">U46-V46</f>
        <v>0</v>
      </c>
      <c r="X46" s="83">
        <f t="shared" si="132"/>
        <v>0</v>
      </c>
      <c r="Y46" s="83"/>
      <c r="Z46" s="137">
        <f t="shared" ref="Z46:Z48" si="142">X46-Y46</f>
        <v>0</v>
      </c>
      <c r="AA46" s="83">
        <f t="shared" si="120"/>
        <v>0</v>
      </c>
      <c r="AB46" s="83"/>
      <c r="AC46" s="137">
        <f t="shared" ref="AC46:AC48" si="143">AA46-AB46</f>
        <v>0</v>
      </c>
      <c r="AD46" s="83">
        <f t="shared" si="122"/>
        <v>0</v>
      </c>
      <c r="AE46" s="83"/>
      <c r="AF46" s="137">
        <f t="shared" ref="AF46:AF48" si="144">AD46-AE46</f>
        <v>0</v>
      </c>
      <c r="AG46" s="83">
        <f t="shared" si="133"/>
        <v>0</v>
      </c>
      <c r="AH46" s="84"/>
      <c r="AI46" s="148">
        <f t="shared" ref="AI46:AI48" si="145">AG46-AH46</f>
        <v>0</v>
      </c>
      <c r="AJ46" s="83">
        <f t="shared" si="134"/>
        <v>0</v>
      </c>
      <c r="AK46" s="84"/>
      <c r="AL46" s="138">
        <f t="shared" ref="AL46:AL48" si="146">AJ46-AK46</f>
        <v>0</v>
      </c>
    </row>
    <row r="47" spans="2:38" s="130" customFormat="1" ht="15.75" hidden="1" outlineLevel="1" x14ac:dyDescent="0.25">
      <c r="B47" s="85"/>
      <c r="C47" s="83"/>
      <c r="D47" s="83"/>
      <c r="E47" s="137">
        <f t="shared" ref="E47" si="147">C47-D47</f>
        <v>0</v>
      </c>
      <c r="F47" s="83">
        <f t="shared" si="126"/>
        <v>0</v>
      </c>
      <c r="G47" s="83"/>
      <c r="H47" s="137">
        <f t="shared" ref="H47" si="148">F47-G47</f>
        <v>0</v>
      </c>
      <c r="I47" s="83">
        <f t="shared" si="127"/>
        <v>0</v>
      </c>
      <c r="J47" s="83"/>
      <c r="K47" s="137">
        <f t="shared" ref="K47" si="149">I47-J47</f>
        <v>0</v>
      </c>
      <c r="L47" s="83">
        <f t="shared" si="128"/>
        <v>0</v>
      </c>
      <c r="M47" s="83"/>
      <c r="N47" s="137">
        <f t="shared" ref="N47" si="150">L47-M47</f>
        <v>0</v>
      </c>
      <c r="O47" s="83">
        <f t="shared" si="129"/>
        <v>0</v>
      </c>
      <c r="P47" s="83"/>
      <c r="Q47" s="137">
        <f t="shared" ref="Q47" si="151">O47-P47</f>
        <v>0</v>
      </c>
      <c r="R47" s="83">
        <f t="shared" si="130"/>
        <v>0</v>
      </c>
      <c r="S47" s="83"/>
      <c r="T47" s="137">
        <f t="shared" ref="T47" si="152">R47-S47</f>
        <v>0</v>
      </c>
      <c r="U47" s="83">
        <f t="shared" si="131"/>
        <v>0</v>
      </c>
      <c r="V47" s="83"/>
      <c r="W47" s="137">
        <f t="shared" ref="W47" si="153">U47-V47</f>
        <v>0</v>
      </c>
      <c r="X47" s="83">
        <f t="shared" si="132"/>
        <v>0</v>
      </c>
      <c r="Y47" s="83"/>
      <c r="Z47" s="137">
        <f t="shared" ref="Z47" si="154">X47-Y47</f>
        <v>0</v>
      </c>
      <c r="AA47" s="83">
        <f t="shared" si="120"/>
        <v>0</v>
      </c>
      <c r="AB47" s="83"/>
      <c r="AC47" s="137">
        <f t="shared" ref="AC47" si="155">AA47-AB47</f>
        <v>0</v>
      </c>
      <c r="AD47" s="83">
        <f t="shared" si="122"/>
        <v>0</v>
      </c>
      <c r="AE47" s="83"/>
      <c r="AF47" s="137">
        <f t="shared" ref="AF47" si="156">AD47-AE47</f>
        <v>0</v>
      </c>
      <c r="AG47" s="83">
        <f t="shared" si="133"/>
        <v>0</v>
      </c>
      <c r="AH47" s="84"/>
      <c r="AI47" s="148">
        <f t="shared" ref="AI47" si="157">AG47-AH47</f>
        <v>0</v>
      </c>
      <c r="AJ47" s="83">
        <f t="shared" si="134"/>
        <v>0</v>
      </c>
      <c r="AK47" s="84"/>
      <c r="AL47" s="138">
        <f t="shared" ref="AL47" si="158">AJ47-AK47</f>
        <v>0</v>
      </c>
    </row>
    <row r="48" spans="2:38" s="130" customFormat="1" ht="15.75" hidden="1" outlineLevel="1" x14ac:dyDescent="0.25">
      <c r="B48" s="85"/>
      <c r="C48" s="83"/>
      <c r="D48" s="83"/>
      <c r="E48" s="137">
        <f t="shared" si="135"/>
        <v>0</v>
      </c>
      <c r="F48" s="83">
        <f t="shared" si="126"/>
        <v>0</v>
      </c>
      <c r="G48" s="83"/>
      <c r="H48" s="137">
        <f t="shared" si="136"/>
        <v>0</v>
      </c>
      <c r="I48" s="83">
        <f t="shared" si="127"/>
        <v>0</v>
      </c>
      <c r="J48" s="83"/>
      <c r="K48" s="137">
        <f t="shared" si="137"/>
        <v>0</v>
      </c>
      <c r="L48" s="83">
        <f t="shared" si="128"/>
        <v>0</v>
      </c>
      <c r="M48" s="83"/>
      <c r="N48" s="137">
        <f t="shared" si="138"/>
        <v>0</v>
      </c>
      <c r="O48" s="83">
        <f t="shared" si="129"/>
        <v>0</v>
      </c>
      <c r="P48" s="83"/>
      <c r="Q48" s="137">
        <f t="shared" si="139"/>
        <v>0</v>
      </c>
      <c r="R48" s="83">
        <f t="shared" si="130"/>
        <v>0</v>
      </c>
      <c r="S48" s="83"/>
      <c r="T48" s="137">
        <f t="shared" si="140"/>
        <v>0</v>
      </c>
      <c r="U48" s="83">
        <f t="shared" si="131"/>
        <v>0</v>
      </c>
      <c r="V48" s="83"/>
      <c r="W48" s="137">
        <f t="shared" si="141"/>
        <v>0</v>
      </c>
      <c r="X48" s="83">
        <f t="shared" si="132"/>
        <v>0</v>
      </c>
      <c r="Y48" s="83"/>
      <c r="Z48" s="137">
        <f t="shared" si="142"/>
        <v>0</v>
      </c>
      <c r="AA48" s="83">
        <f t="shared" si="120"/>
        <v>0</v>
      </c>
      <c r="AB48" s="83"/>
      <c r="AC48" s="137">
        <f t="shared" si="143"/>
        <v>0</v>
      </c>
      <c r="AD48" s="83">
        <f t="shared" si="122"/>
        <v>0</v>
      </c>
      <c r="AE48" s="83"/>
      <c r="AF48" s="137">
        <f t="shared" si="144"/>
        <v>0</v>
      </c>
      <c r="AG48" s="83">
        <f t="shared" si="133"/>
        <v>0</v>
      </c>
      <c r="AH48" s="84"/>
      <c r="AI48" s="148">
        <f t="shared" si="145"/>
        <v>0</v>
      </c>
      <c r="AJ48" s="83">
        <f t="shared" si="134"/>
        <v>0</v>
      </c>
      <c r="AK48" s="84"/>
      <c r="AL48" s="138">
        <f t="shared" si="146"/>
        <v>0</v>
      </c>
    </row>
    <row r="49" spans="2:38" s="130" customFormat="1" ht="15.75" hidden="1" outlineLevel="1" x14ac:dyDescent="0.25">
      <c r="B49" s="85"/>
      <c r="C49" s="83"/>
      <c r="D49" s="83"/>
      <c r="E49" s="137">
        <f t="shared" si="112"/>
        <v>0</v>
      </c>
      <c r="F49" s="83">
        <f t="shared" si="126"/>
        <v>0</v>
      </c>
      <c r="G49" s="83"/>
      <c r="H49" s="137">
        <f t="shared" si="113"/>
        <v>0</v>
      </c>
      <c r="I49" s="83">
        <f t="shared" si="127"/>
        <v>0</v>
      </c>
      <c r="J49" s="83"/>
      <c r="K49" s="137">
        <f t="shared" si="114"/>
        <v>0</v>
      </c>
      <c r="L49" s="83">
        <f t="shared" si="128"/>
        <v>0</v>
      </c>
      <c r="M49" s="83"/>
      <c r="N49" s="137">
        <f t="shared" si="115"/>
        <v>0</v>
      </c>
      <c r="O49" s="83">
        <f t="shared" si="129"/>
        <v>0</v>
      </c>
      <c r="P49" s="83"/>
      <c r="Q49" s="137">
        <f t="shared" si="116"/>
        <v>0</v>
      </c>
      <c r="R49" s="83">
        <f t="shared" si="130"/>
        <v>0</v>
      </c>
      <c r="S49" s="83"/>
      <c r="T49" s="137">
        <f t="shared" si="117"/>
        <v>0</v>
      </c>
      <c r="U49" s="83">
        <f t="shared" si="131"/>
        <v>0</v>
      </c>
      <c r="V49" s="83"/>
      <c r="W49" s="137">
        <f t="shared" si="118"/>
        <v>0</v>
      </c>
      <c r="X49" s="83">
        <f t="shared" si="132"/>
        <v>0</v>
      </c>
      <c r="Y49" s="83"/>
      <c r="Z49" s="137">
        <f t="shared" si="119"/>
        <v>0</v>
      </c>
      <c r="AA49" s="83">
        <f t="shared" si="120"/>
        <v>0</v>
      </c>
      <c r="AB49" s="83"/>
      <c r="AC49" s="137">
        <f t="shared" si="121"/>
        <v>0</v>
      </c>
      <c r="AD49" s="83">
        <f t="shared" si="122"/>
        <v>0</v>
      </c>
      <c r="AE49" s="83"/>
      <c r="AF49" s="137">
        <f t="shared" si="123"/>
        <v>0</v>
      </c>
      <c r="AG49" s="83">
        <f t="shared" si="133"/>
        <v>0</v>
      </c>
      <c r="AH49" s="84"/>
      <c r="AI49" s="148">
        <f t="shared" si="124"/>
        <v>0</v>
      </c>
      <c r="AJ49" s="83">
        <f t="shared" si="134"/>
        <v>0</v>
      </c>
      <c r="AK49" s="84"/>
      <c r="AL49" s="138">
        <f t="shared" si="125"/>
        <v>0</v>
      </c>
    </row>
    <row r="50" spans="2:38" s="130" customFormat="1" ht="15.75" collapsed="1" x14ac:dyDescent="0.25">
      <c r="B50" s="153" t="s">
        <v>41</v>
      </c>
      <c r="C50" s="154">
        <f>SUM(C51:C60)</f>
        <v>0</v>
      </c>
      <c r="D50" s="154">
        <f t="shared" ref="D50:AL50" si="159">SUM(D51:D60)</f>
        <v>0</v>
      </c>
      <c r="E50" s="154">
        <f>SUM(E51:E60)</f>
        <v>0</v>
      </c>
      <c r="F50" s="154">
        <f t="shared" si="159"/>
        <v>0</v>
      </c>
      <c r="G50" s="154">
        <f t="shared" si="159"/>
        <v>0</v>
      </c>
      <c r="H50" s="154">
        <f t="shared" si="159"/>
        <v>0</v>
      </c>
      <c r="I50" s="154">
        <f t="shared" si="159"/>
        <v>0</v>
      </c>
      <c r="J50" s="154">
        <f t="shared" si="159"/>
        <v>0</v>
      </c>
      <c r="K50" s="154">
        <f t="shared" si="159"/>
        <v>0</v>
      </c>
      <c r="L50" s="154">
        <f t="shared" si="159"/>
        <v>0</v>
      </c>
      <c r="M50" s="154">
        <f t="shared" si="159"/>
        <v>0</v>
      </c>
      <c r="N50" s="154">
        <f t="shared" si="159"/>
        <v>0</v>
      </c>
      <c r="O50" s="154">
        <f t="shared" si="159"/>
        <v>0</v>
      </c>
      <c r="P50" s="154">
        <f t="shared" si="159"/>
        <v>0</v>
      </c>
      <c r="Q50" s="154">
        <f t="shared" si="159"/>
        <v>0</v>
      </c>
      <c r="R50" s="154">
        <f t="shared" si="159"/>
        <v>0</v>
      </c>
      <c r="S50" s="154">
        <f t="shared" si="159"/>
        <v>0</v>
      </c>
      <c r="T50" s="154">
        <f t="shared" si="159"/>
        <v>0</v>
      </c>
      <c r="U50" s="154">
        <f t="shared" si="159"/>
        <v>0</v>
      </c>
      <c r="V50" s="154">
        <f t="shared" si="159"/>
        <v>0</v>
      </c>
      <c r="W50" s="154">
        <f t="shared" si="159"/>
        <v>0</v>
      </c>
      <c r="X50" s="154">
        <f t="shared" si="159"/>
        <v>0</v>
      </c>
      <c r="Y50" s="154">
        <f t="shared" si="159"/>
        <v>0</v>
      </c>
      <c r="Z50" s="154">
        <f t="shared" si="159"/>
        <v>0</v>
      </c>
      <c r="AA50" s="154">
        <f t="shared" si="159"/>
        <v>0</v>
      </c>
      <c r="AB50" s="154">
        <f t="shared" si="159"/>
        <v>0</v>
      </c>
      <c r="AC50" s="154">
        <f t="shared" si="159"/>
        <v>0</v>
      </c>
      <c r="AD50" s="154">
        <f t="shared" si="159"/>
        <v>0</v>
      </c>
      <c r="AE50" s="154">
        <f t="shared" si="159"/>
        <v>0</v>
      </c>
      <c r="AF50" s="154">
        <f t="shared" si="159"/>
        <v>0</v>
      </c>
      <c r="AG50" s="154">
        <f t="shared" si="159"/>
        <v>0</v>
      </c>
      <c r="AH50" s="155">
        <f t="shared" si="159"/>
        <v>0</v>
      </c>
      <c r="AI50" s="155">
        <f t="shared" si="159"/>
        <v>0</v>
      </c>
      <c r="AJ50" s="154">
        <f t="shared" si="159"/>
        <v>0</v>
      </c>
      <c r="AK50" s="155">
        <f t="shared" si="159"/>
        <v>0</v>
      </c>
      <c r="AL50" s="156">
        <f t="shared" si="159"/>
        <v>0</v>
      </c>
    </row>
    <row r="51" spans="2:38" s="130" customFormat="1" ht="15.75" x14ac:dyDescent="0.25">
      <c r="B51" s="157" t="s">
        <v>35</v>
      </c>
      <c r="C51" s="83"/>
      <c r="D51" s="83"/>
      <c r="E51" s="154">
        <f t="shared" ref="E51:E60" si="160">C51-D51</f>
        <v>0</v>
      </c>
      <c r="F51" s="83">
        <f>$C51</f>
        <v>0</v>
      </c>
      <c r="G51" s="83"/>
      <c r="H51" s="154">
        <f t="shared" ref="H51:H60" si="161">F51-G51</f>
        <v>0</v>
      </c>
      <c r="I51" s="83">
        <f>$C51</f>
        <v>0</v>
      </c>
      <c r="J51" s="83"/>
      <c r="K51" s="154">
        <f t="shared" ref="K51:K60" si="162">I51-J51</f>
        <v>0</v>
      </c>
      <c r="L51" s="83">
        <f>$C51</f>
        <v>0</v>
      </c>
      <c r="M51" s="83"/>
      <c r="N51" s="154">
        <f t="shared" ref="N51:N60" si="163">L51-M51</f>
        <v>0</v>
      </c>
      <c r="O51" s="83">
        <f>$C51</f>
        <v>0</v>
      </c>
      <c r="P51" s="83"/>
      <c r="Q51" s="154">
        <f t="shared" ref="Q51:Q60" si="164">O51-P51</f>
        <v>0</v>
      </c>
      <c r="R51" s="83">
        <f>$C51</f>
        <v>0</v>
      </c>
      <c r="S51" s="83"/>
      <c r="T51" s="154">
        <f t="shared" ref="T51:T60" si="165">R51-S51</f>
        <v>0</v>
      </c>
      <c r="U51" s="83">
        <f>$C51</f>
        <v>0</v>
      </c>
      <c r="V51" s="83"/>
      <c r="W51" s="154">
        <f t="shared" ref="W51:W60" si="166">U51-V51</f>
        <v>0</v>
      </c>
      <c r="X51" s="83">
        <f>$C51</f>
        <v>0</v>
      </c>
      <c r="Y51" s="83"/>
      <c r="Z51" s="154">
        <f t="shared" ref="Z51:Z60" si="167">X51-Y51</f>
        <v>0</v>
      </c>
      <c r="AA51" s="83">
        <f>$C51</f>
        <v>0</v>
      </c>
      <c r="AB51" s="83"/>
      <c r="AC51" s="154">
        <f t="shared" ref="AC51:AC60" si="168">AA51-AB51</f>
        <v>0</v>
      </c>
      <c r="AD51" s="83">
        <f>$C51</f>
        <v>0</v>
      </c>
      <c r="AE51" s="83"/>
      <c r="AF51" s="154">
        <f t="shared" ref="AF51:AF60" si="169">AD51-AE51</f>
        <v>0</v>
      </c>
      <c r="AG51" s="83">
        <f>$C51</f>
        <v>0</v>
      </c>
      <c r="AH51" s="84"/>
      <c r="AI51" s="155">
        <f t="shared" ref="AI51:AI60" si="170">AG51-AH51</f>
        <v>0</v>
      </c>
      <c r="AJ51" s="83">
        <f>$C51</f>
        <v>0</v>
      </c>
      <c r="AK51" s="84"/>
      <c r="AL51" s="156">
        <f t="shared" ref="AL51:AL60" si="171">AJ51-AK51</f>
        <v>0</v>
      </c>
    </row>
    <row r="52" spans="2:38" s="130" customFormat="1" ht="15.75" x14ac:dyDescent="0.25">
      <c r="B52" s="157" t="s">
        <v>15</v>
      </c>
      <c r="C52" s="83"/>
      <c r="D52" s="83"/>
      <c r="E52" s="154">
        <f t="shared" si="160"/>
        <v>0</v>
      </c>
      <c r="F52" s="83">
        <f t="shared" ref="F52:F93" si="172">$C52</f>
        <v>0</v>
      </c>
      <c r="G52" s="83"/>
      <c r="H52" s="154">
        <f t="shared" si="161"/>
        <v>0</v>
      </c>
      <c r="I52" s="83">
        <f t="shared" ref="I52:I60" si="173">$C52</f>
        <v>0</v>
      </c>
      <c r="J52" s="83"/>
      <c r="K52" s="154">
        <f t="shared" si="162"/>
        <v>0</v>
      </c>
      <c r="L52" s="83">
        <f t="shared" ref="L52:L60" si="174">$C52</f>
        <v>0</v>
      </c>
      <c r="M52" s="83"/>
      <c r="N52" s="154">
        <f t="shared" si="163"/>
        <v>0</v>
      </c>
      <c r="O52" s="83">
        <f t="shared" ref="O52:O60" si="175">$C52</f>
        <v>0</v>
      </c>
      <c r="P52" s="83"/>
      <c r="Q52" s="154">
        <f t="shared" si="164"/>
        <v>0</v>
      </c>
      <c r="R52" s="83">
        <f t="shared" ref="R52:R60" si="176">$C52</f>
        <v>0</v>
      </c>
      <c r="S52" s="83"/>
      <c r="T52" s="154">
        <f t="shared" si="165"/>
        <v>0</v>
      </c>
      <c r="U52" s="83">
        <f t="shared" ref="U52:U60" si="177">$C52</f>
        <v>0</v>
      </c>
      <c r="V52" s="83"/>
      <c r="W52" s="154">
        <f t="shared" si="166"/>
        <v>0</v>
      </c>
      <c r="X52" s="83">
        <f t="shared" ref="X52:X60" si="178">$C52</f>
        <v>0</v>
      </c>
      <c r="Y52" s="83"/>
      <c r="Z52" s="154">
        <f t="shared" si="167"/>
        <v>0</v>
      </c>
      <c r="AA52" s="83">
        <f t="shared" ref="AA52:AA60" si="179">$C52</f>
        <v>0</v>
      </c>
      <c r="AB52" s="83"/>
      <c r="AC52" s="154">
        <f t="shared" si="168"/>
        <v>0</v>
      </c>
      <c r="AD52" s="83">
        <f t="shared" ref="AD52:AD60" si="180">$C52</f>
        <v>0</v>
      </c>
      <c r="AE52" s="83"/>
      <c r="AF52" s="154">
        <f t="shared" si="169"/>
        <v>0</v>
      </c>
      <c r="AG52" s="83">
        <f t="shared" ref="AG52:AG60" si="181">$C52</f>
        <v>0</v>
      </c>
      <c r="AH52" s="84"/>
      <c r="AI52" s="155">
        <f t="shared" si="170"/>
        <v>0</v>
      </c>
      <c r="AJ52" s="83">
        <f t="shared" ref="AJ52:AJ60" si="182">$C52</f>
        <v>0</v>
      </c>
      <c r="AK52" s="84"/>
      <c r="AL52" s="156">
        <f t="shared" si="171"/>
        <v>0</v>
      </c>
    </row>
    <row r="53" spans="2:38" s="130" customFormat="1" ht="15.75" x14ac:dyDescent="0.25">
      <c r="B53" s="157" t="s">
        <v>37</v>
      </c>
      <c r="C53" s="83"/>
      <c r="D53" s="83"/>
      <c r="E53" s="154">
        <f t="shared" si="160"/>
        <v>0</v>
      </c>
      <c r="F53" s="83">
        <f t="shared" si="172"/>
        <v>0</v>
      </c>
      <c r="G53" s="83"/>
      <c r="H53" s="154">
        <f t="shared" si="161"/>
        <v>0</v>
      </c>
      <c r="I53" s="83">
        <f t="shared" si="173"/>
        <v>0</v>
      </c>
      <c r="J53" s="83"/>
      <c r="K53" s="154">
        <f t="shared" si="162"/>
        <v>0</v>
      </c>
      <c r="L53" s="83">
        <f t="shared" si="174"/>
        <v>0</v>
      </c>
      <c r="M53" s="83"/>
      <c r="N53" s="154">
        <f t="shared" si="163"/>
        <v>0</v>
      </c>
      <c r="O53" s="83">
        <f t="shared" si="175"/>
        <v>0</v>
      </c>
      <c r="P53" s="83"/>
      <c r="Q53" s="154">
        <f t="shared" si="164"/>
        <v>0</v>
      </c>
      <c r="R53" s="83">
        <f t="shared" si="176"/>
        <v>0</v>
      </c>
      <c r="S53" s="83"/>
      <c r="T53" s="154">
        <f t="shared" si="165"/>
        <v>0</v>
      </c>
      <c r="U53" s="83">
        <f t="shared" si="177"/>
        <v>0</v>
      </c>
      <c r="V53" s="83"/>
      <c r="W53" s="154">
        <f t="shared" si="166"/>
        <v>0</v>
      </c>
      <c r="X53" s="83">
        <f t="shared" si="178"/>
        <v>0</v>
      </c>
      <c r="Y53" s="83"/>
      <c r="Z53" s="154">
        <f t="shared" si="167"/>
        <v>0</v>
      </c>
      <c r="AA53" s="83">
        <f t="shared" si="179"/>
        <v>0</v>
      </c>
      <c r="AB53" s="83"/>
      <c r="AC53" s="154">
        <f t="shared" si="168"/>
        <v>0</v>
      </c>
      <c r="AD53" s="83">
        <f t="shared" si="180"/>
        <v>0</v>
      </c>
      <c r="AE53" s="83"/>
      <c r="AF53" s="154">
        <f t="shared" si="169"/>
        <v>0</v>
      </c>
      <c r="AG53" s="83">
        <f t="shared" si="181"/>
        <v>0</v>
      </c>
      <c r="AH53" s="84"/>
      <c r="AI53" s="155">
        <f t="shared" si="170"/>
        <v>0</v>
      </c>
      <c r="AJ53" s="83">
        <f t="shared" si="182"/>
        <v>0</v>
      </c>
      <c r="AK53" s="84"/>
      <c r="AL53" s="156">
        <f t="shared" si="171"/>
        <v>0</v>
      </c>
    </row>
    <row r="54" spans="2:38" s="130" customFormat="1" ht="15.75" x14ac:dyDescent="0.25">
      <c r="B54" s="157" t="s">
        <v>36</v>
      </c>
      <c r="C54" s="83"/>
      <c r="D54" s="83"/>
      <c r="E54" s="154">
        <f t="shared" si="160"/>
        <v>0</v>
      </c>
      <c r="F54" s="83">
        <f t="shared" si="172"/>
        <v>0</v>
      </c>
      <c r="G54" s="83"/>
      <c r="H54" s="154">
        <f t="shared" si="161"/>
        <v>0</v>
      </c>
      <c r="I54" s="83">
        <f t="shared" si="173"/>
        <v>0</v>
      </c>
      <c r="J54" s="83"/>
      <c r="K54" s="154">
        <f t="shared" si="162"/>
        <v>0</v>
      </c>
      <c r="L54" s="83">
        <f t="shared" si="174"/>
        <v>0</v>
      </c>
      <c r="M54" s="83"/>
      <c r="N54" s="154">
        <f t="shared" si="163"/>
        <v>0</v>
      </c>
      <c r="O54" s="83">
        <f t="shared" si="175"/>
        <v>0</v>
      </c>
      <c r="P54" s="83"/>
      <c r="Q54" s="154">
        <f t="shared" si="164"/>
        <v>0</v>
      </c>
      <c r="R54" s="83">
        <f t="shared" si="176"/>
        <v>0</v>
      </c>
      <c r="S54" s="83"/>
      <c r="T54" s="154">
        <f t="shared" si="165"/>
        <v>0</v>
      </c>
      <c r="U54" s="83">
        <f t="shared" si="177"/>
        <v>0</v>
      </c>
      <c r="V54" s="83"/>
      <c r="W54" s="154">
        <f t="shared" si="166"/>
        <v>0</v>
      </c>
      <c r="X54" s="83">
        <f t="shared" si="178"/>
        <v>0</v>
      </c>
      <c r="Y54" s="83"/>
      <c r="Z54" s="154">
        <f t="shared" si="167"/>
        <v>0</v>
      </c>
      <c r="AA54" s="83">
        <f t="shared" si="179"/>
        <v>0</v>
      </c>
      <c r="AB54" s="83"/>
      <c r="AC54" s="154">
        <f t="shared" si="168"/>
        <v>0</v>
      </c>
      <c r="AD54" s="83">
        <f t="shared" si="180"/>
        <v>0</v>
      </c>
      <c r="AE54" s="83"/>
      <c r="AF54" s="154">
        <f t="shared" si="169"/>
        <v>0</v>
      </c>
      <c r="AG54" s="83">
        <f t="shared" si="181"/>
        <v>0</v>
      </c>
      <c r="AH54" s="84"/>
      <c r="AI54" s="155">
        <f t="shared" si="170"/>
        <v>0</v>
      </c>
      <c r="AJ54" s="83">
        <f t="shared" si="182"/>
        <v>0</v>
      </c>
      <c r="AK54" s="84"/>
      <c r="AL54" s="156">
        <f t="shared" si="171"/>
        <v>0</v>
      </c>
    </row>
    <row r="55" spans="2:38" s="130" customFormat="1" ht="15.75" x14ac:dyDescent="0.25">
      <c r="B55" s="157" t="s">
        <v>16</v>
      </c>
      <c r="C55" s="83"/>
      <c r="D55" s="83"/>
      <c r="E55" s="154">
        <f t="shared" si="160"/>
        <v>0</v>
      </c>
      <c r="F55" s="83">
        <f t="shared" si="172"/>
        <v>0</v>
      </c>
      <c r="G55" s="83"/>
      <c r="H55" s="154">
        <f t="shared" si="161"/>
        <v>0</v>
      </c>
      <c r="I55" s="83">
        <f t="shared" si="173"/>
        <v>0</v>
      </c>
      <c r="J55" s="83"/>
      <c r="K55" s="154">
        <f t="shared" si="162"/>
        <v>0</v>
      </c>
      <c r="L55" s="83">
        <f t="shared" si="174"/>
        <v>0</v>
      </c>
      <c r="M55" s="83"/>
      <c r="N55" s="154">
        <f t="shared" si="163"/>
        <v>0</v>
      </c>
      <c r="O55" s="83">
        <f t="shared" si="175"/>
        <v>0</v>
      </c>
      <c r="P55" s="83"/>
      <c r="Q55" s="154">
        <f t="shared" si="164"/>
        <v>0</v>
      </c>
      <c r="R55" s="83">
        <f t="shared" si="176"/>
        <v>0</v>
      </c>
      <c r="S55" s="83"/>
      <c r="T55" s="154">
        <f t="shared" si="165"/>
        <v>0</v>
      </c>
      <c r="U55" s="83">
        <f t="shared" si="177"/>
        <v>0</v>
      </c>
      <c r="V55" s="83"/>
      <c r="W55" s="154">
        <f t="shared" si="166"/>
        <v>0</v>
      </c>
      <c r="X55" s="83">
        <f t="shared" si="178"/>
        <v>0</v>
      </c>
      <c r="Y55" s="83"/>
      <c r="Z55" s="154">
        <f t="shared" si="167"/>
        <v>0</v>
      </c>
      <c r="AA55" s="83">
        <f t="shared" si="179"/>
        <v>0</v>
      </c>
      <c r="AB55" s="83"/>
      <c r="AC55" s="154">
        <f t="shared" si="168"/>
        <v>0</v>
      </c>
      <c r="AD55" s="83">
        <f t="shared" si="180"/>
        <v>0</v>
      </c>
      <c r="AE55" s="83"/>
      <c r="AF55" s="154">
        <f t="shared" si="169"/>
        <v>0</v>
      </c>
      <c r="AG55" s="83">
        <f t="shared" si="181"/>
        <v>0</v>
      </c>
      <c r="AH55" s="84"/>
      <c r="AI55" s="155">
        <f t="shared" si="170"/>
        <v>0</v>
      </c>
      <c r="AJ55" s="83">
        <f t="shared" si="182"/>
        <v>0</v>
      </c>
      <c r="AK55" s="84"/>
      <c r="AL55" s="156">
        <f t="shared" si="171"/>
        <v>0</v>
      </c>
    </row>
    <row r="56" spans="2:38" s="130" customFormat="1" ht="15.75" x14ac:dyDescent="0.25">
      <c r="B56" s="157" t="s">
        <v>38</v>
      </c>
      <c r="C56" s="83"/>
      <c r="D56" s="83"/>
      <c r="E56" s="154">
        <f t="shared" si="160"/>
        <v>0</v>
      </c>
      <c r="F56" s="83">
        <f t="shared" si="172"/>
        <v>0</v>
      </c>
      <c r="G56" s="83"/>
      <c r="H56" s="154">
        <f t="shared" si="161"/>
        <v>0</v>
      </c>
      <c r="I56" s="83">
        <f t="shared" si="173"/>
        <v>0</v>
      </c>
      <c r="J56" s="83"/>
      <c r="K56" s="154">
        <f t="shared" si="162"/>
        <v>0</v>
      </c>
      <c r="L56" s="83">
        <f t="shared" si="174"/>
        <v>0</v>
      </c>
      <c r="M56" s="83"/>
      <c r="N56" s="154">
        <f t="shared" si="163"/>
        <v>0</v>
      </c>
      <c r="O56" s="83">
        <f t="shared" si="175"/>
        <v>0</v>
      </c>
      <c r="P56" s="83"/>
      <c r="Q56" s="154">
        <f t="shared" si="164"/>
        <v>0</v>
      </c>
      <c r="R56" s="83">
        <f t="shared" si="176"/>
        <v>0</v>
      </c>
      <c r="S56" s="83"/>
      <c r="T56" s="154">
        <f t="shared" si="165"/>
        <v>0</v>
      </c>
      <c r="U56" s="83">
        <f t="shared" si="177"/>
        <v>0</v>
      </c>
      <c r="V56" s="83"/>
      <c r="W56" s="154">
        <f t="shared" si="166"/>
        <v>0</v>
      </c>
      <c r="X56" s="83">
        <f t="shared" si="178"/>
        <v>0</v>
      </c>
      <c r="Y56" s="83"/>
      <c r="Z56" s="154">
        <f t="shared" si="167"/>
        <v>0</v>
      </c>
      <c r="AA56" s="83">
        <f t="shared" si="179"/>
        <v>0</v>
      </c>
      <c r="AB56" s="83"/>
      <c r="AC56" s="154">
        <f t="shared" si="168"/>
        <v>0</v>
      </c>
      <c r="AD56" s="83">
        <f t="shared" si="180"/>
        <v>0</v>
      </c>
      <c r="AE56" s="83"/>
      <c r="AF56" s="154">
        <f t="shared" si="169"/>
        <v>0</v>
      </c>
      <c r="AG56" s="83">
        <f t="shared" si="181"/>
        <v>0</v>
      </c>
      <c r="AH56" s="84"/>
      <c r="AI56" s="155">
        <f t="shared" si="170"/>
        <v>0</v>
      </c>
      <c r="AJ56" s="83">
        <f t="shared" si="182"/>
        <v>0</v>
      </c>
      <c r="AK56" s="84"/>
      <c r="AL56" s="156">
        <f t="shared" si="171"/>
        <v>0</v>
      </c>
    </row>
    <row r="57" spans="2:38" s="130" customFormat="1" ht="15.75" x14ac:dyDescent="0.25">
      <c r="B57" s="157" t="s">
        <v>39</v>
      </c>
      <c r="C57" s="83"/>
      <c r="D57" s="83"/>
      <c r="E57" s="154">
        <f t="shared" ref="E57:E59" si="183">C57-D57</f>
        <v>0</v>
      </c>
      <c r="F57" s="83">
        <f t="shared" si="172"/>
        <v>0</v>
      </c>
      <c r="G57" s="83"/>
      <c r="H57" s="154">
        <f t="shared" ref="H57:H59" si="184">F57-G57</f>
        <v>0</v>
      </c>
      <c r="I57" s="83">
        <f t="shared" si="173"/>
        <v>0</v>
      </c>
      <c r="J57" s="83"/>
      <c r="K57" s="154">
        <f t="shared" ref="K57:K59" si="185">I57-J57</f>
        <v>0</v>
      </c>
      <c r="L57" s="83">
        <f t="shared" si="174"/>
        <v>0</v>
      </c>
      <c r="M57" s="83"/>
      <c r="N57" s="154">
        <f t="shared" ref="N57:N59" si="186">L57-M57</f>
        <v>0</v>
      </c>
      <c r="O57" s="83">
        <f t="shared" si="175"/>
        <v>0</v>
      </c>
      <c r="P57" s="83"/>
      <c r="Q57" s="154">
        <f t="shared" ref="Q57:Q59" si="187">O57-P57</f>
        <v>0</v>
      </c>
      <c r="R57" s="83">
        <f t="shared" si="176"/>
        <v>0</v>
      </c>
      <c r="S57" s="83"/>
      <c r="T57" s="154">
        <f t="shared" ref="T57:T59" si="188">R57-S57</f>
        <v>0</v>
      </c>
      <c r="U57" s="83">
        <f t="shared" si="177"/>
        <v>0</v>
      </c>
      <c r="V57" s="83"/>
      <c r="W57" s="154">
        <f t="shared" ref="W57:W59" si="189">U57-V57</f>
        <v>0</v>
      </c>
      <c r="X57" s="83">
        <f t="shared" si="178"/>
        <v>0</v>
      </c>
      <c r="Y57" s="83"/>
      <c r="Z57" s="154">
        <f t="shared" ref="Z57:Z59" si="190">X57-Y57</f>
        <v>0</v>
      </c>
      <c r="AA57" s="83">
        <f t="shared" si="179"/>
        <v>0</v>
      </c>
      <c r="AB57" s="83"/>
      <c r="AC57" s="154">
        <f t="shared" ref="AC57:AC59" si="191">AA57-AB57</f>
        <v>0</v>
      </c>
      <c r="AD57" s="83">
        <f t="shared" si="180"/>
        <v>0</v>
      </c>
      <c r="AE57" s="83"/>
      <c r="AF57" s="154">
        <f t="shared" ref="AF57:AF59" si="192">AD57-AE57</f>
        <v>0</v>
      </c>
      <c r="AG57" s="83">
        <f t="shared" si="181"/>
        <v>0</v>
      </c>
      <c r="AH57" s="84"/>
      <c r="AI57" s="155">
        <f t="shared" ref="AI57:AI59" si="193">AG57-AH57</f>
        <v>0</v>
      </c>
      <c r="AJ57" s="83">
        <f t="shared" si="182"/>
        <v>0</v>
      </c>
      <c r="AK57" s="84"/>
      <c r="AL57" s="156">
        <f t="shared" ref="AL57:AL59" si="194">AJ57-AK57</f>
        <v>0</v>
      </c>
    </row>
    <row r="58" spans="2:38" s="130" customFormat="1" ht="15.75" hidden="1" outlineLevel="1" x14ac:dyDescent="0.25">
      <c r="B58" s="85"/>
      <c r="C58" s="83"/>
      <c r="D58" s="83"/>
      <c r="E58" s="154">
        <f t="shared" si="183"/>
        <v>0</v>
      </c>
      <c r="F58" s="83">
        <f t="shared" si="172"/>
        <v>0</v>
      </c>
      <c r="G58" s="83"/>
      <c r="H58" s="154">
        <f t="shared" si="184"/>
        <v>0</v>
      </c>
      <c r="I58" s="83">
        <f t="shared" si="173"/>
        <v>0</v>
      </c>
      <c r="J58" s="83"/>
      <c r="K58" s="154">
        <f t="shared" si="185"/>
        <v>0</v>
      </c>
      <c r="L58" s="83">
        <f t="shared" si="174"/>
        <v>0</v>
      </c>
      <c r="M58" s="83"/>
      <c r="N58" s="154">
        <f t="shared" si="186"/>
        <v>0</v>
      </c>
      <c r="O58" s="83">
        <f t="shared" si="175"/>
        <v>0</v>
      </c>
      <c r="P58" s="83"/>
      <c r="Q58" s="154">
        <f t="shared" si="187"/>
        <v>0</v>
      </c>
      <c r="R58" s="83">
        <f t="shared" si="176"/>
        <v>0</v>
      </c>
      <c r="S58" s="83"/>
      <c r="T58" s="154">
        <f t="shared" si="188"/>
        <v>0</v>
      </c>
      <c r="U58" s="83">
        <f t="shared" si="177"/>
        <v>0</v>
      </c>
      <c r="V58" s="83"/>
      <c r="W58" s="154">
        <f t="shared" si="189"/>
        <v>0</v>
      </c>
      <c r="X58" s="83">
        <f t="shared" si="178"/>
        <v>0</v>
      </c>
      <c r="Y58" s="83"/>
      <c r="Z58" s="154">
        <f t="shared" si="190"/>
        <v>0</v>
      </c>
      <c r="AA58" s="83">
        <f t="shared" si="179"/>
        <v>0</v>
      </c>
      <c r="AB58" s="83"/>
      <c r="AC58" s="154">
        <f t="shared" si="191"/>
        <v>0</v>
      </c>
      <c r="AD58" s="83">
        <f t="shared" si="180"/>
        <v>0</v>
      </c>
      <c r="AE58" s="83"/>
      <c r="AF58" s="154">
        <f t="shared" si="192"/>
        <v>0</v>
      </c>
      <c r="AG58" s="83">
        <f t="shared" si="181"/>
        <v>0</v>
      </c>
      <c r="AH58" s="84"/>
      <c r="AI58" s="155">
        <f t="shared" si="193"/>
        <v>0</v>
      </c>
      <c r="AJ58" s="83">
        <f t="shared" si="182"/>
        <v>0</v>
      </c>
      <c r="AK58" s="84"/>
      <c r="AL58" s="156">
        <f t="shared" si="194"/>
        <v>0</v>
      </c>
    </row>
    <row r="59" spans="2:38" s="130" customFormat="1" ht="15.75" hidden="1" outlineLevel="1" x14ac:dyDescent="0.25">
      <c r="B59" s="85"/>
      <c r="C59" s="83"/>
      <c r="D59" s="83"/>
      <c r="E59" s="154">
        <f t="shared" si="183"/>
        <v>0</v>
      </c>
      <c r="F59" s="83">
        <f t="shared" si="172"/>
        <v>0</v>
      </c>
      <c r="G59" s="83"/>
      <c r="H59" s="154">
        <f t="shared" si="184"/>
        <v>0</v>
      </c>
      <c r="I59" s="83">
        <f t="shared" si="173"/>
        <v>0</v>
      </c>
      <c r="J59" s="83"/>
      <c r="K59" s="154">
        <f t="shared" si="185"/>
        <v>0</v>
      </c>
      <c r="L59" s="83">
        <f t="shared" si="174"/>
        <v>0</v>
      </c>
      <c r="M59" s="83"/>
      <c r="N59" s="154">
        <f t="shared" si="186"/>
        <v>0</v>
      </c>
      <c r="O59" s="83">
        <f t="shared" si="175"/>
        <v>0</v>
      </c>
      <c r="P59" s="83"/>
      <c r="Q59" s="154">
        <f t="shared" si="187"/>
        <v>0</v>
      </c>
      <c r="R59" s="83">
        <f t="shared" si="176"/>
        <v>0</v>
      </c>
      <c r="S59" s="83"/>
      <c r="T59" s="154">
        <f t="shared" si="188"/>
        <v>0</v>
      </c>
      <c r="U59" s="83">
        <f t="shared" si="177"/>
        <v>0</v>
      </c>
      <c r="V59" s="83"/>
      <c r="W59" s="154">
        <f t="shared" si="189"/>
        <v>0</v>
      </c>
      <c r="X59" s="83">
        <f t="shared" si="178"/>
        <v>0</v>
      </c>
      <c r="Y59" s="83"/>
      <c r="Z59" s="154">
        <f t="shared" si="190"/>
        <v>0</v>
      </c>
      <c r="AA59" s="83">
        <f t="shared" si="179"/>
        <v>0</v>
      </c>
      <c r="AB59" s="83"/>
      <c r="AC59" s="154">
        <f t="shared" si="191"/>
        <v>0</v>
      </c>
      <c r="AD59" s="83">
        <f t="shared" si="180"/>
        <v>0</v>
      </c>
      <c r="AE59" s="83"/>
      <c r="AF59" s="154">
        <f t="shared" si="192"/>
        <v>0</v>
      </c>
      <c r="AG59" s="83">
        <f t="shared" si="181"/>
        <v>0</v>
      </c>
      <c r="AH59" s="84"/>
      <c r="AI59" s="155">
        <f t="shared" si="193"/>
        <v>0</v>
      </c>
      <c r="AJ59" s="83">
        <f t="shared" si="182"/>
        <v>0</v>
      </c>
      <c r="AK59" s="84"/>
      <c r="AL59" s="156">
        <f t="shared" si="194"/>
        <v>0</v>
      </c>
    </row>
    <row r="60" spans="2:38" s="130" customFormat="1" ht="15.75" hidden="1" outlineLevel="1" x14ac:dyDescent="0.25">
      <c r="B60" s="85"/>
      <c r="C60" s="83"/>
      <c r="D60" s="83"/>
      <c r="E60" s="154">
        <f t="shared" si="160"/>
        <v>0</v>
      </c>
      <c r="F60" s="83">
        <f t="shared" si="172"/>
        <v>0</v>
      </c>
      <c r="G60" s="83"/>
      <c r="H60" s="154">
        <f t="shared" si="161"/>
        <v>0</v>
      </c>
      <c r="I60" s="83">
        <f t="shared" si="173"/>
        <v>0</v>
      </c>
      <c r="J60" s="83"/>
      <c r="K60" s="154">
        <f t="shared" si="162"/>
        <v>0</v>
      </c>
      <c r="L60" s="83">
        <f t="shared" si="174"/>
        <v>0</v>
      </c>
      <c r="M60" s="83"/>
      <c r="N60" s="154">
        <f t="shared" si="163"/>
        <v>0</v>
      </c>
      <c r="O60" s="83">
        <f t="shared" si="175"/>
        <v>0</v>
      </c>
      <c r="P60" s="83"/>
      <c r="Q60" s="154">
        <f t="shared" si="164"/>
        <v>0</v>
      </c>
      <c r="R60" s="83">
        <f t="shared" si="176"/>
        <v>0</v>
      </c>
      <c r="S60" s="83"/>
      <c r="T60" s="154">
        <f t="shared" si="165"/>
        <v>0</v>
      </c>
      <c r="U60" s="83">
        <f t="shared" si="177"/>
        <v>0</v>
      </c>
      <c r="V60" s="83"/>
      <c r="W60" s="154">
        <f t="shared" si="166"/>
        <v>0</v>
      </c>
      <c r="X60" s="83">
        <f t="shared" si="178"/>
        <v>0</v>
      </c>
      <c r="Y60" s="83"/>
      <c r="Z60" s="154">
        <f t="shared" si="167"/>
        <v>0</v>
      </c>
      <c r="AA60" s="83">
        <f t="shared" si="179"/>
        <v>0</v>
      </c>
      <c r="AB60" s="83"/>
      <c r="AC60" s="154">
        <f t="shared" si="168"/>
        <v>0</v>
      </c>
      <c r="AD60" s="83">
        <f t="shared" si="180"/>
        <v>0</v>
      </c>
      <c r="AE60" s="83"/>
      <c r="AF60" s="154">
        <f t="shared" si="169"/>
        <v>0</v>
      </c>
      <c r="AG60" s="83">
        <f t="shared" si="181"/>
        <v>0</v>
      </c>
      <c r="AH60" s="84"/>
      <c r="AI60" s="155">
        <f t="shared" si="170"/>
        <v>0</v>
      </c>
      <c r="AJ60" s="83">
        <f t="shared" si="182"/>
        <v>0</v>
      </c>
      <c r="AK60" s="84"/>
      <c r="AL60" s="156">
        <f t="shared" si="171"/>
        <v>0</v>
      </c>
    </row>
    <row r="61" spans="2:38" s="130" customFormat="1" ht="15.75" collapsed="1" x14ac:dyDescent="0.25">
      <c r="B61" s="158" t="s">
        <v>17</v>
      </c>
      <c r="C61" s="154">
        <f>SUM(C62:C69)</f>
        <v>0</v>
      </c>
      <c r="D61" s="154">
        <f t="shared" ref="D61:AL61" si="195">SUM(D62:D69)</f>
        <v>0</v>
      </c>
      <c r="E61" s="154">
        <f t="shared" si="195"/>
        <v>0</v>
      </c>
      <c r="F61" s="154">
        <f t="shared" si="195"/>
        <v>0</v>
      </c>
      <c r="G61" s="154">
        <f t="shared" si="195"/>
        <v>0</v>
      </c>
      <c r="H61" s="154">
        <f t="shared" si="195"/>
        <v>0</v>
      </c>
      <c r="I61" s="154">
        <f t="shared" si="195"/>
        <v>0</v>
      </c>
      <c r="J61" s="154">
        <f t="shared" si="195"/>
        <v>0</v>
      </c>
      <c r="K61" s="154">
        <f t="shared" si="195"/>
        <v>0</v>
      </c>
      <c r="L61" s="154">
        <f t="shared" si="195"/>
        <v>0</v>
      </c>
      <c r="M61" s="154">
        <f t="shared" si="195"/>
        <v>0</v>
      </c>
      <c r="N61" s="154">
        <f t="shared" si="195"/>
        <v>0</v>
      </c>
      <c r="O61" s="154">
        <f t="shared" si="195"/>
        <v>0</v>
      </c>
      <c r="P61" s="154">
        <f t="shared" si="195"/>
        <v>0</v>
      </c>
      <c r="Q61" s="154">
        <f t="shared" si="195"/>
        <v>0</v>
      </c>
      <c r="R61" s="154">
        <f t="shared" si="195"/>
        <v>0</v>
      </c>
      <c r="S61" s="154">
        <f t="shared" si="195"/>
        <v>0</v>
      </c>
      <c r="T61" s="154">
        <f t="shared" si="195"/>
        <v>0</v>
      </c>
      <c r="U61" s="154">
        <f t="shared" si="195"/>
        <v>0</v>
      </c>
      <c r="V61" s="154">
        <f t="shared" si="195"/>
        <v>0</v>
      </c>
      <c r="W61" s="154">
        <f t="shared" si="195"/>
        <v>0</v>
      </c>
      <c r="X61" s="154">
        <f t="shared" si="195"/>
        <v>0</v>
      </c>
      <c r="Y61" s="154">
        <f t="shared" si="195"/>
        <v>0</v>
      </c>
      <c r="Z61" s="154">
        <f t="shared" si="195"/>
        <v>0</v>
      </c>
      <c r="AA61" s="154">
        <f t="shared" si="195"/>
        <v>0</v>
      </c>
      <c r="AB61" s="154">
        <f t="shared" si="195"/>
        <v>0</v>
      </c>
      <c r="AC61" s="154">
        <f t="shared" si="195"/>
        <v>0</v>
      </c>
      <c r="AD61" s="154">
        <f t="shared" si="195"/>
        <v>0</v>
      </c>
      <c r="AE61" s="154">
        <f t="shared" si="195"/>
        <v>0</v>
      </c>
      <c r="AF61" s="154">
        <f t="shared" si="195"/>
        <v>0</v>
      </c>
      <c r="AG61" s="154">
        <f t="shared" si="195"/>
        <v>0</v>
      </c>
      <c r="AH61" s="155">
        <f t="shared" si="195"/>
        <v>0</v>
      </c>
      <c r="AI61" s="155">
        <f t="shared" si="195"/>
        <v>0</v>
      </c>
      <c r="AJ61" s="154">
        <f t="shared" si="195"/>
        <v>0</v>
      </c>
      <c r="AK61" s="155">
        <f t="shared" si="195"/>
        <v>0</v>
      </c>
      <c r="AL61" s="156">
        <f t="shared" si="195"/>
        <v>0</v>
      </c>
    </row>
    <row r="62" spans="2:38" s="130" customFormat="1" ht="15.75" x14ac:dyDescent="0.25">
      <c r="B62" s="157" t="s">
        <v>18</v>
      </c>
      <c r="C62" s="83"/>
      <c r="D62" s="83"/>
      <c r="E62" s="154">
        <f t="shared" ref="E62:E93" si="196">C62-D62</f>
        <v>0</v>
      </c>
      <c r="F62" s="83">
        <f t="shared" si="172"/>
        <v>0</v>
      </c>
      <c r="G62" s="83"/>
      <c r="H62" s="154">
        <f t="shared" ref="H62:H93" si="197">F62-G62</f>
        <v>0</v>
      </c>
      <c r="I62" s="83">
        <f t="shared" ref="I62:I69" si="198">$C62</f>
        <v>0</v>
      </c>
      <c r="J62" s="83"/>
      <c r="K62" s="154">
        <f t="shared" ref="K62:K93" si="199">I62-J62</f>
        <v>0</v>
      </c>
      <c r="L62" s="83">
        <f t="shared" ref="L62:L69" si="200">$C62</f>
        <v>0</v>
      </c>
      <c r="M62" s="83"/>
      <c r="N62" s="154">
        <f t="shared" ref="N62:N93" si="201">L62-M62</f>
        <v>0</v>
      </c>
      <c r="O62" s="83">
        <f t="shared" ref="O62:O69" si="202">$C62</f>
        <v>0</v>
      </c>
      <c r="P62" s="83"/>
      <c r="Q62" s="154">
        <f t="shared" ref="Q62:Q93" si="203">O62-P62</f>
        <v>0</v>
      </c>
      <c r="R62" s="83">
        <f t="shared" ref="R62:R69" si="204">$C62</f>
        <v>0</v>
      </c>
      <c r="S62" s="83"/>
      <c r="T62" s="154">
        <f t="shared" ref="T62:T93" si="205">R62-S62</f>
        <v>0</v>
      </c>
      <c r="U62" s="83">
        <f t="shared" ref="U62:U69" si="206">$C62</f>
        <v>0</v>
      </c>
      <c r="V62" s="83"/>
      <c r="W62" s="154">
        <f t="shared" ref="W62:W93" si="207">U62-V62</f>
        <v>0</v>
      </c>
      <c r="X62" s="83">
        <f t="shared" ref="X62:X69" si="208">$C62</f>
        <v>0</v>
      </c>
      <c r="Y62" s="83"/>
      <c r="Z62" s="154">
        <f t="shared" ref="Z62:Z93" si="209">X62-Y62</f>
        <v>0</v>
      </c>
      <c r="AA62" s="83">
        <f t="shared" ref="AA62:AA69" si="210">$C62</f>
        <v>0</v>
      </c>
      <c r="AB62" s="83"/>
      <c r="AC62" s="154">
        <f t="shared" ref="AC62:AC93" si="211">AA62-AB62</f>
        <v>0</v>
      </c>
      <c r="AD62" s="83">
        <f t="shared" ref="AD62:AD69" si="212">$C62</f>
        <v>0</v>
      </c>
      <c r="AE62" s="83"/>
      <c r="AF62" s="154">
        <f t="shared" ref="AF62:AF93" si="213">AD62-AE62</f>
        <v>0</v>
      </c>
      <c r="AG62" s="83">
        <f t="shared" ref="AG62:AG69" si="214">$C62</f>
        <v>0</v>
      </c>
      <c r="AH62" s="84"/>
      <c r="AI62" s="155">
        <f t="shared" ref="AI62:AI93" si="215">AG62-AH62</f>
        <v>0</v>
      </c>
      <c r="AJ62" s="83">
        <f t="shared" ref="AJ62:AJ69" si="216">$C62</f>
        <v>0</v>
      </c>
      <c r="AK62" s="84"/>
      <c r="AL62" s="156">
        <f t="shared" ref="AL62:AL93" si="217">AJ62-AK62</f>
        <v>0</v>
      </c>
    </row>
    <row r="63" spans="2:38" s="130" customFormat="1" ht="15.75" x14ac:dyDescent="0.25">
      <c r="B63" s="157" t="s">
        <v>40</v>
      </c>
      <c r="C63" s="83"/>
      <c r="D63" s="83"/>
      <c r="E63" s="154">
        <f t="shared" si="196"/>
        <v>0</v>
      </c>
      <c r="F63" s="83">
        <f t="shared" si="172"/>
        <v>0</v>
      </c>
      <c r="G63" s="83"/>
      <c r="H63" s="154">
        <f t="shared" si="197"/>
        <v>0</v>
      </c>
      <c r="I63" s="83">
        <f t="shared" si="198"/>
        <v>0</v>
      </c>
      <c r="J63" s="83"/>
      <c r="K63" s="154">
        <f t="shared" si="199"/>
        <v>0</v>
      </c>
      <c r="L63" s="83">
        <f t="shared" si="200"/>
        <v>0</v>
      </c>
      <c r="M63" s="83"/>
      <c r="N63" s="154">
        <f t="shared" si="201"/>
        <v>0</v>
      </c>
      <c r="O63" s="83">
        <f t="shared" si="202"/>
        <v>0</v>
      </c>
      <c r="P63" s="83"/>
      <c r="Q63" s="154">
        <f t="shared" si="203"/>
        <v>0</v>
      </c>
      <c r="R63" s="83">
        <f t="shared" si="204"/>
        <v>0</v>
      </c>
      <c r="S63" s="83"/>
      <c r="T63" s="154">
        <f t="shared" si="205"/>
        <v>0</v>
      </c>
      <c r="U63" s="83">
        <f t="shared" si="206"/>
        <v>0</v>
      </c>
      <c r="V63" s="83"/>
      <c r="W63" s="154">
        <f t="shared" si="207"/>
        <v>0</v>
      </c>
      <c r="X63" s="83">
        <f t="shared" si="208"/>
        <v>0</v>
      </c>
      <c r="Y63" s="83"/>
      <c r="Z63" s="154">
        <f t="shared" si="209"/>
        <v>0</v>
      </c>
      <c r="AA63" s="83">
        <f t="shared" si="210"/>
        <v>0</v>
      </c>
      <c r="AB63" s="83"/>
      <c r="AC63" s="154">
        <f t="shared" si="211"/>
        <v>0</v>
      </c>
      <c r="AD63" s="83">
        <f t="shared" si="212"/>
        <v>0</v>
      </c>
      <c r="AE63" s="83"/>
      <c r="AF63" s="154">
        <f t="shared" si="213"/>
        <v>0</v>
      </c>
      <c r="AG63" s="83">
        <f t="shared" si="214"/>
        <v>0</v>
      </c>
      <c r="AH63" s="84"/>
      <c r="AI63" s="155">
        <f t="shared" si="215"/>
        <v>0</v>
      </c>
      <c r="AJ63" s="83">
        <f t="shared" si="216"/>
        <v>0</v>
      </c>
      <c r="AK63" s="84"/>
      <c r="AL63" s="156">
        <f t="shared" si="217"/>
        <v>0</v>
      </c>
    </row>
    <row r="64" spans="2:38" s="130" customFormat="1" ht="15.75" x14ac:dyDescent="0.25">
      <c r="B64" s="157" t="s">
        <v>19</v>
      </c>
      <c r="C64" s="83"/>
      <c r="D64" s="83"/>
      <c r="E64" s="154">
        <f t="shared" si="196"/>
        <v>0</v>
      </c>
      <c r="F64" s="83">
        <f t="shared" si="172"/>
        <v>0</v>
      </c>
      <c r="G64" s="83"/>
      <c r="H64" s="154">
        <f t="shared" si="197"/>
        <v>0</v>
      </c>
      <c r="I64" s="83">
        <f t="shared" si="198"/>
        <v>0</v>
      </c>
      <c r="J64" s="83"/>
      <c r="K64" s="154">
        <f t="shared" si="199"/>
        <v>0</v>
      </c>
      <c r="L64" s="83">
        <f t="shared" si="200"/>
        <v>0</v>
      </c>
      <c r="M64" s="83"/>
      <c r="N64" s="154">
        <f t="shared" si="201"/>
        <v>0</v>
      </c>
      <c r="O64" s="83">
        <f t="shared" si="202"/>
        <v>0</v>
      </c>
      <c r="P64" s="83"/>
      <c r="Q64" s="154">
        <f t="shared" si="203"/>
        <v>0</v>
      </c>
      <c r="R64" s="83">
        <f t="shared" si="204"/>
        <v>0</v>
      </c>
      <c r="S64" s="83"/>
      <c r="T64" s="154">
        <f t="shared" si="205"/>
        <v>0</v>
      </c>
      <c r="U64" s="83">
        <f t="shared" si="206"/>
        <v>0</v>
      </c>
      <c r="V64" s="83"/>
      <c r="W64" s="154">
        <f t="shared" si="207"/>
        <v>0</v>
      </c>
      <c r="X64" s="83">
        <f t="shared" si="208"/>
        <v>0</v>
      </c>
      <c r="Y64" s="83"/>
      <c r="Z64" s="154">
        <f t="shared" si="209"/>
        <v>0</v>
      </c>
      <c r="AA64" s="83">
        <f t="shared" si="210"/>
        <v>0</v>
      </c>
      <c r="AB64" s="83"/>
      <c r="AC64" s="154">
        <f t="shared" si="211"/>
        <v>0</v>
      </c>
      <c r="AD64" s="83">
        <f t="shared" si="212"/>
        <v>0</v>
      </c>
      <c r="AE64" s="83"/>
      <c r="AF64" s="154">
        <f t="shared" si="213"/>
        <v>0</v>
      </c>
      <c r="AG64" s="83">
        <f t="shared" si="214"/>
        <v>0</v>
      </c>
      <c r="AH64" s="84"/>
      <c r="AI64" s="155">
        <f t="shared" si="215"/>
        <v>0</v>
      </c>
      <c r="AJ64" s="83">
        <f t="shared" si="216"/>
        <v>0</v>
      </c>
      <c r="AK64" s="84"/>
      <c r="AL64" s="156">
        <f t="shared" si="217"/>
        <v>0</v>
      </c>
    </row>
    <row r="65" spans="2:38" s="130" customFormat="1" ht="15.75" x14ac:dyDescent="0.25">
      <c r="B65" s="157" t="s">
        <v>20</v>
      </c>
      <c r="C65" s="83"/>
      <c r="D65" s="83"/>
      <c r="E65" s="154">
        <f t="shared" si="196"/>
        <v>0</v>
      </c>
      <c r="F65" s="83">
        <f t="shared" si="172"/>
        <v>0</v>
      </c>
      <c r="G65" s="83"/>
      <c r="H65" s="154">
        <f t="shared" si="197"/>
        <v>0</v>
      </c>
      <c r="I65" s="83">
        <f t="shared" si="198"/>
        <v>0</v>
      </c>
      <c r="J65" s="83"/>
      <c r="K65" s="154">
        <f t="shared" si="199"/>
        <v>0</v>
      </c>
      <c r="L65" s="83">
        <f t="shared" si="200"/>
        <v>0</v>
      </c>
      <c r="M65" s="83"/>
      <c r="N65" s="154">
        <f t="shared" si="201"/>
        <v>0</v>
      </c>
      <c r="O65" s="83">
        <f t="shared" si="202"/>
        <v>0</v>
      </c>
      <c r="P65" s="83"/>
      <c r="Q65" s="154">
        <f t="shared" si="203"/>
        <v>0</v>
      </c>
      <c r="R65" s="83">
        <f t="shared" si="204"/>
        <v>0</v>
      </c>
      <c r="S65" s="83"/>
      <c r="T65" s="154">
        <f t="shared" si="205"/>
        <v>0</v>
      </c>
      <c r="U65" s="83">
        <f t="shared" si="206"/>
        <v>0</v>
      </c>
      <c r="V65" s="83"/>
      <c r="W65" s="154">
        <f t="shared" si="207"/>
        <v>0</v>
      </c>
      <c r="X65" s="83">
        <f t="shared" si="208"/>
        <v>0</v>
      </c>
      <c r="Y65" s="83"/>
      <c r="Z65" s="154">
        <f t="shared" si="209"/>
        <v>0</v>
      </c>
      <c r="AA65" s="83">
        <f t="shared" si="210"/>
        <v>0</v>
      </c>
      <c r="AB65" s="83"/>
      <c r="AC65" s="154">
        <f t="shared" si="211"/>
        <v>0</v>
      </c>
      <c r="AD65" s="83">
        <f t="shared" si="212"/>
        <v>0</v>
      </c>
      <c r="AE65" s="83"/>
      <c r="AF65" s="154">
        <f t="shared" si="213"/>
        <v>0</v>
      </c>
      <c r="AG65" s="83">
        <f t="shared" si="214"/>
        <v>0</v>
      </c>
      <c r="AH65" s="84"/>
      <c r="AI65" s="155">
        <f t="shared" si="215"/>
        <v>0</v>
      </c>
      <c r="AJ65" s="83">
        <f t="shared" si="216"/>
        <v>0</v>
      </c>
      <c r="AK65" s="84"/>
      <c r="AL65" s="156">
        <f t="shared" si="217"/>
        <v>0</v>
      </c>
    </row>
    <row r="66" spans="2:38" s="130" customFormat="1" ht="15.75" x14ac:dyDescent="0.25">
      <c r="B66" s="157" t="s">
        <v>21</v>
      </c>
      <c r="C66" s="83"/>
      <c r="D66" s="83"/>
      <c r="E66" s="154">
        <f t="shared" ref="E66:E68" si="218">C66-D66</f>
        <v>0</v>
      </c>
      <c r="F66" s="83">
        <f t="shared" si="172"/>
        <v>0</v>
      </c>
      <c r="G66" s="83"/>
      <c r="H66" s="154">
        <f t="shared" ref="H66:H68" si="219">F66-G66</f>
        <v>0</v>
      </c>
      <c r="I66" s="83">
        <f t="shared" si="198"/>
        <v>0</v>
      </c>
      <c r="J66" s="83"/>
      <c r="K66" s="154">
        <f t="shared" ref="K66:K68" si="220">I66-J66</f>
        <v>0</v>
      </c>
      <c r="L66" s="83">
        <f t="shared" si="200"/>
        <v>0</v>
      </c>
      <c r="M66" s="83"/>
      <c r="N66" s="154">
        <f t="shared" ref="N66:N68" si="221">L66-M66</f>
        <v>0</v>
      </c>
      <c r="O66" s="83">
        <f t="shared" si="202"/>
        <v>0</v>
      </c>
      <c r="P66" s="83"/>
      <c r="Q66" s="154">
        <f t="shared" ref="Q66:Q68" si="222">O66-P66</f>
        <v>0</v>
      </c>
      <c r="R66" s="83">
        <f t="shared" si="204"/>
        <v>0</v>
      </c>
      <c r="S66" s="83"/>
      <c r="T66" s="154">
        <f t="shared" ref="T66:T68" si="223">R66-S66</f>
        <v>0</v>
      </c>
      <c r="U66" s="83">
        <f t="shared" si="206"/>
        <v>0</v>
      </c>
      <c r="V66" s="83"/>
      <c r="W66" s="154">
        <f t="shared" ref="W66:W68" si="224">U66-V66</f>
        <v>0</v>
      </c>
      <c r="X66" s="83">
        <f t="shared" si="208"/>
        <v>0</v>
      </c>
      <c r="Y66" s="83"/>
      <c r="Z66" s="154">
        <f t="shared" ref="Z66:Z68" si="225">X66-Y66</f>
        <v>0</v>
      </c>
      <c r="AA66" s="83">
        <f t="shared" si="210"/>
        <v>0</v>
      </c>
      <c r="AB66" s="83"/>
      <c r="AC66" s="154">
        <f t="shared" ref="AC66:AC68" si="226">AA66-AB66</f>
        <v>0</v>
      </c>
      <c r="AD66" s="83">
        <f t="shared" si="212"/>
        <v>0</v>
      </c>
      <c r="AE66" s="83"/>
      <c r="AF66" s="154">
        <f t="shared" ref="AF66:AF68" si="227">AD66-AE66</f>
        <v>0</v>
      </c>
      <c r="AG66" s="83">
        <f t="shared" si="214"/>
        <v>0</v>
      </c>
      <c r="AH66" s="84"/>
      <c r="AI66" s="155">
        <f t="shared" ref="AI66:AI68" si="228">AG66-AH66</f>
        <v>0</v>
      </c>
      <c r="AJ66" s="83">
        <f t="shared" si="216"/>
        <v>0</v>
      </c>
      <c r="AK66" s="84"/>
      <c r="AL66" s="156">
        <f t="shared" ref="AL66:AL68" si="229">AJ66-AK66</f>
        <v>0</v>
      </c>
    </row>
    <row r="67" spans="2:38" s="130" customFormat="1" ht="15.75" hidden="1" outlineLevel="1" x14ac:dyDescent="0.25">
      <c r="B67" s="85"/>
      <c r="C67" s="83"/>
      <c r="D67" s="83"/>
      <c r="E67" s="154">
        <f t="shared" si="218"/>
        <v>0</v>
      </c>
      <c r="F67" s="83">
        <f t="shared" si="172"/>
        <v>0</v>
      </c>
      <c r="G67" s="83"/>
      <c r="H67" s="154">
        <f t="shared" si="219"/>
        <v>0</v>
      </c>
      <c r="I67" s="83">
        <f t="shared" si="198"/>
        <v>0</v>
      </c>
      <c r="J67" s="83"/>
      <c r="K67" s="154">
        <f t="shared" si="220"/>
        <v>0</v>
      </c>
      <c r="L67" s="83">
        <f t="shared" si="200"/>
        <v>0</v>
      </c>
      <c r="M67" s="83"/>
      <c r="N67" s="154">
        <f t="shared" si="221"/>
        <v>0</v>
      </c>
      <c r="O67" s="83">
        <f t="shared" si="202"/>
        <v>0</v>
      </c>
      <c r="P67" s="83"/>
      <c r="Q67" s="154">
        <f t="shared" si="222"/>
        <v>0</v>
      </c>
      <c r="R67" s="83">
        <f t="shared" si="204"/>
        <v>0</v>
      </c>
      <c r="S67" s="83"/>
      <c r="T67" s="154">
        <f t="shared" si="223"/>
        <v>0</v>
      </c>
      <c r="U67" s="83">
        <f t="shared" si="206"/>
        <v>0</v>
      </c>
      <c r="V67" s="83"/>
      <c r="W67" s="154">
        <f t="shared" si="224"/>
        <v>0</v>
      </c>
      <c r="X67" s="83">
        <f t="shared" si="208"/>
        <v>0</v>
      </c>
      <c r="Y67" s="83"/>
      <c r="Z67" s="154">
        <f t="shared" si="225"/>
        <v>0</v>
      </c>
      <c r="AA67" s="83">
        <f t="shared" si="210"/>
        <v>0</v>
      </c>
      <c r="AB67" s="83"/>
      <c r="AC67" s="154">
        <f t="shared" si="226"/>
        <v>0</v>
      </c>
      <c r="AD67" s="83">
        <f t="shared" si="212"/>
        <v>0</v>
      </c>
      <c r="AE67" s="83"/>
      <c r="AF67" s="154">
        <f t="shared" si="227"/>
        <v>0</v>
      </c>
      <c r="AG67" s="83">
        <f t="shared" si="214"/>
        <v>0</v>
      </c>
      <c r="AH67" s="84"/>
      <c r="AI67" s="155">
        <f t="shared" si="228"/>
        <v>0</v>
      </c>
      <c r="AJ67" s="83">
        <f t="shared" si="216"/>
        <v>0</v>
      </c>
      <c r="AK67" s="84"/>
      <c r="AL67" s="156">
        <f t="shared" si="229"/>
        <v>0</v>
      </c>
    </row>
    <row r="68" spans="2:38" s="130" customFormat="1" ht="15.75" hidden="1" outlineLevel="1" x14ac:dyDescent="0.25">
      <c r="B68" s="85"/>
      <c r="C68" s="83"/>
      <c r="D68" s="83"/>
      <c r="E68" s="154">
        <f t="shared" si="218"/>
        <v>0</v>
      </c>
      <c r="F68" s="83">
        <f t="shared" si="172"/>
        <v>0</v>
      </c>
      <c r="G68" s="83"/>
      <c r="H68" s="154">
        <f t="shared" si="219"/>
        <v>0</v>
      </c>
      <c r="I68" s="83">
        <f t="shared" si="198"/>
        <v>0</v>
      </c>
      <c r="J68" s="83"/>
      <c r="K68" s="154">
        <f t="shared" si="220"/>
        <v>0</v>
      </c>
      <c r="L68" s="83">
        <f t="shared" si="200"/>
        <v>0</v>
      </c>
      <c r="M68" s="83"/>
      <c r="N68" s="154">
        <f t="shared" si="221"/>
        <v>0</v>
      </c>
      <c r="O68" s="83">
        <f t="shared" si="202"/>
        <v>0</v>
      </c>
      <c r="P68" s="83"/>
      <c r="Q68" s="154">
        <f t="shared" si="222"/>
        <v>0</v>
      </c>
      <c r="R68" s="83">
        <f t="shared" si="204"/>
        <v>0</v>
      </c>
      <c r="S68" s="83"/>
      <c r="T68" s="154">
        <f t="shared" si="223"/>
        <v>0</v>
      </c>
      <c r="U68" s="83">
        <f t="shared" si="206"/>
        <v>0</v>
      </c>
      <c r="V68" s="83"/>
      <c r="W68" s="154">
        <f t="shared" si="224"/>
        <v>0</v>
      </c>
      <c r="X68" s="83">
        <f t="shared" si="208"/>
        <v>0</v>
      </c>
      <c r="Y68" s="83"/>
      <c r="Z68" s="154">
        <f t="shared" si="225"/>
        <v>0</v>
      </c>
      <c r="AA68" s="83">
        <f t="shared" si="210"/>
        <v>0</v>
      </c>
      <c r="AB68" s="83"/>
      <c r="AC68" s="154">
        <f t="shared" si="226"/>
        <v>0</v>
      </c>
      <c r="AD68" s="83">
        <f t="shared" si="212"/>
        <v>0</v>
      </c>
      <c r="AE68" s="83"/>
      <c r="AF68" s="154">
        <f t="shared" si="227"/>
        <v>0</v>
      </c>
      <c r="AG68" s="83">
        <f t="shared" si="214"/>
        <v>0</v>
      </c>
      <c r="AH68" s="84"/>
      <c r="AI68" s="155">
        <f t="shared" si="228"/>
        <v>0</v>
      </c>
      <c r="AJ68" s="83">
        <f t="shared" si="216"/>
        <v>0</v>
      </c>
      <c r="AK68" s="84"/>
      <c r="AL68" s="156">
        <f t="shared" si="229"/>
        <v>0</v>
      </c>
    </row>
    <row r="69" spans="2:38" s="130" customFormat="1" ht="15.75" hidden="1" outlineLevel="1" x14ac:dyDescent="0.25">
      <c r="B69" s="85"/>
      <c r="C69" s="83"/>
      <c r="D69" s="83"/>
      <c r="E69" s="154">
        <f t="shared" si="196"/>
        <v>0</v>
      </c>
      <c r="F69" s="83">
        <f t="shared" si="172"/>
        <v>0</v>
      </c>
      <c r="G69" s="83"/>
      <c r="H69" s="154">
        <f t="shared" si="197"/>
        <v>0</v>
      </c>
      <c r="I69" s="83">
        <f t="shared" si="198"/>
        <v>0</v>
      </c>
      <c r="J69" s="83"/>
      <c r="K69" s="154">
        <f t="shared" si="199"/>
        <v>0</v>
      </c>
      <c r="L69" s="83">
        <f t="shared" si="200"/>
        <v>0</v>
      </c>
      <c r="M69" s="83"/>
      <c r="N69" s="154">
        <f t="shared" si="201"/>
        <v>0</v>
      </c>
      <c r="O69" s="83">
        <f t="shared" si="202"/>
        <v>0</v>
      </c>
      <c r="P69" s="83"/>
      <c r="Q69" s="154">
        <f t="shared" si="203"/>
        <v>0</v>
      </c>
      <c r="R69" s="83">
        <f t="shared" si="204"/>
        <v>0</v>
      </c>
      <c r="S69" s="83"/>
      <c r="T69" s="154">
        <f t="shared" si="205"/>
        <v>0</v>
      </c>
      <c r="U69" s="83">
        <f t="shared" si="206"/>
        <v>0</v>
      </c>
      <c r="V69" s="83"/>
      <c r="W69" s="154">
        <f t="shared" si="207"/>
        <v>0</v>
      </c>
      <c r="X69" s="83">
        <f t="shared" si="208"/>
        <v>0</v>
      </c>
      <c r="Y69" s="83"/>
      <c r="Z69" s="154">
        <f t="shared" si="209"/>
        <v>0</v>
      </c>
      <c r="AA69" s="83">
        <f t="shared" si="210"/>
        <v>0</v>
      </c>
      <c r="AB69" s="83"/>
      <c r="AC69" s="154">
        <f t="shared" si="211"/>
        <v>0</v>
      </c>
      <c r="AD69" s="83">
        <f t="shared" si="212"/>
        <v>0</v>
      </c>
      <c r="AE69" s="83"/>
      <c r="AF69" s="154">
        <f t="shared" si="213"/>
        <v>0</v>
      </c>
      <c r="AG69" s="83">
        <f t="shared" si="214"/>
        <v>0</v>
      </c>
      <c r="AH69" s="84"/>
      <c r="AI69" s="155">
        <f t="shared" si="215"/>
        <v>0</v>
      </c>
      <c r="AJ69" s="83">
        <f t="shared" si="216"/>
        <v>0</v>
      </c>
      <c r="AK69" s="84"/>
      <c r="AL69" s="156">
        <f t="shared" si="217"/>
        <v>0</v>
      </c>
    </row>
    <row r="70" spans="2:38" s="130" customFormat="1" ht="15.75" collapsed="1" x14ac:dyDescent="0.25">
      <c r="B70" s="158" t="s">
        <v>62</v>
      </c>
      <c r="C70" s="154">
        <f>SUM(C71:C78)</f>
        <v>0</v>
      </c>
      <c r="D70" s="154">
        <f t="shared" ref="D70:AL70" si="230">SUM(D71:D78)</f>
        <v>0</v>
      </c>
      <c r="E70" s="154">
        <f t="shared" si="230"/>
        <v>0</v>
      </c>
      <c r="F70" s="154">
        <f t="shared" si="230"/>
        <v>0</v>
      </c>
      <c r="G70" s="154">
        <f t="shared" si="230"/>
        <v>0</v>
      </c>
      <c r="H70" s="154">
        <f t="shared" si="230"/>
        <v>0</v>
      </c>
      <c r="I70" s="154">
        <f t="shared" si="230"/>
        <v>0</v>
      </c>
      <c r="J70" s="154">
        <f t="shared" si="230"/>
        <v>0</v>
      </c>
      <c r="K70" s="154">
        <f t="shared" si="230"/>
        <v>0</v>
      </c>
      <c r="L70" s="154">
        <f t="shared" si="230"/>
        <v>0</v>
      </c>
      <c r="M70" s="154">
        <f t="shared" si="230"/>
        <v>0</v>
      </c>
      <c r="N70" s="154">
        <f t="shared" si="230"/>
        <v>0</v>
      </c>
      <c r="O70" s="154">
        <f t="shared" si="230"/>
        <v>0</v>
      </c>
      <c r="P70" s="154">
        <f t="shared" si="230"/>
        <v>0</v>
      </c>
      <c r="Q70" s="154">
        <f t="shared" si="230"/>
        <v>0</v>
      </c>
      <c r="R70" s="154">
        <f t="shared" si="230"/>
        <v>0</v>
      </c>
      <c r="S70" s="154">
        <f t="shared" si="230"/>
        <v>0</v>
      </c>
      <c r="T70" s="154">
        <f t="shared" si="230"/>
        <v>0</v>
      </c>
      <c r="U70" s="154">
        <f t="shared" si="230"/>
        <v>0</v>
      </c>
      <c r="V70" s="154">
        <f t="shared" si="230"/>
        <v>0</v>
      </c>
      <c r="W70" s="154">
        <f t="shared" si="230"/>
        <v>0</v>
      </c>
      <c r="X70" s="154">
        <f t="shared" si="230"/>
        <v>0</v>
      </c>
      <c r="Y70" s="154">
        <f t="shared" si="230"/>
        <v>0</v>
      </c>
      <c r="Z70" s="154">
        <f t="shared" si="230"/>
        <v>0</v>
      </c>
      <c r="AA70" s="154">
        <f t="shared" si="230"/>
        <v>0</v>
      </c>
      <c r="AB70" s="154">
        <f t="shared" si="230"/>
        <v>0</v>
      </c>
      <c r="AC70" s="154">
        <f t="shared" si="230"/>
        <v>0</v>
      </c>
      <c r="AD70" s="154">
        <f t="shared" si="230"/>
        <v>0</v>
      </c>
      <c r="AE70" s="154">
        <f t="shared" si="230"/>
        <v>0</v>
      </c>
      <c r="AF70" s="154">
        <f t="shared" si="230"/>
        <v>0</v>
      </c>
      <c r="AG70" s="154">
        <f t="shared" si="230"/>
        <v>0</v>
      </c>
      <c r="AH70" s="155">
        <f t="shared" si="230"/>
        <v>0</v>
      </c>
      <c r="AI70" s="155">
        <f t="shared" si="230"/>
        <v>0</v>
      </c>
      <c r="AJ70" s="154">
        <f t="shared" si="230"/>
        <v>0</v>
      </c>
      <c r="AK70" s="155">
        <f t="shared" si="230"/>
        <v>0</v>
      </c>
      <c r="AL70" s="156">
        <f t="shared" si="230"/>
        <v>0</v>
      </c>
    </row>
    <row r="71" spans="2:38" s="130" customFormat="1" ht="15.75" x14ac:dyDescent="0.25">
      <c r="B71" s="157" t="s">
        <v>22</v>
      </c>
      <c r="C71" s="83"/>
      <c r="D71" s="83"/>
      <c r="E71" s="154">
        <f t="shared" si="196"/>
        <v>0</v>
      </c>
      <c r="F71" s="83">
        <f t="shared" si="172"/>
        <v>0</v>
      </c>
      <c r="G71" s="83"/>
      <c r="H71" s="154">
        <f t="shared" si="197"/>
        <v>0</v>
      </c>
      <c r="I71" s="83">
        <f t="shared" ref="I71:I78" si="231">$C71</f>
        <v>0</v>
      </c>
      <c r="J71" s="83"/>
      <c r="K71" s="154">
        <f t="shared" si="199"/>
        <v>0</v>
      </c>
      <c r="L71" s="83">
        <f t="shared" ref="L71:L78" si="232">$C71</f>
        <v>0</v>
      </c>
      <c r="M71" s="83"/>
      <c r="N71" s="154">
        <f t="shared" si="201"/>
        <v>0</v>
      </c>
      <c r="O71" s="83">
        <f t="shared" ref="O71:O78" si="233">$C71</f>
        <v>0</v>
      </c>
      <c r="P71" s="83"/>
      <c r="Q71" s="154">
        <f t="shared" si="203"/>
        <v>0</v>
      </c>
      <c r="R71" s="83">
        <f t="shared" ref="R71:R78" si="234">$C71</f>
        <v>0</v>
      </c>
      <c r="S71" s="83"/>
      <c r="T71" s="154">
        <f t="shared" si="205"/>
        <v>0</v>
      </c>
      <c r="U71" s="83">
        <f t="shared" ref="U71:U78" si="235">$C71</f>
        <v>0</v>
      </c>
      <c r="V71" s="83"/>
      <c r="W71" s="154">
        <f t="shared" si="207"/>
        <v>0</v>
      </c>
      <c r="X71" s="83">
        <f t="shared" ref="X71:X78" si="236">$C71</f>
        <v>0</v>
      </c>
      <c r="Y71" s="83"/>
      <c r="Z71" s="154">
        <f t="shared" si="209"/>
        <v>0</v>
      </c>
      <c r="AA71" s="83">
        <f t="shared" ref="AA71:AA78" si="237">$C71</f>
        <v>0</v>
      </c>
      <c r="AB71" s="83"/>
      <c r="AC71" s="154">
        <f t="shared" si="211"/>
        <v>0</v>
      </c>
      <c r="AD71" s="83">
        <f t="shared" ref="AD71:AD78" si="238">$C71</f>
        <v>0</v>
      </c>
      <c r="AE71" s="83"/>
      <c r="AF71" s="154">
        <f t="shared" si="213"/>
        <v>0</v>
      </c>
      <c r="AG71" s="83">
        <f t="shared" ref="AG71:AG78" si="239">$C71</f>
        <v>0</v>
      </c>
      <c r="AH71" s="84"/>
      <c r="AI71" s="155">
        <f t="shared" si="215"/>
        <v>0</v>
      </c>
      <c r="AJ71" s="83">
        <f t="shared" ref="AJ71:AJ78" si="240">$C71</f>
        <v>0</v>
      </c>
      <c r="AK71" s="84"/>
      <c r="AL71" s="156">
        <f t="shared" si="217"/>
        <v>0</v>
      </c>
    </row>
    <row r="72" spans="2:38" s="130" customFormat="1" ht="15.75" x14ac:dyDescent="0.25">
      <c r="B72" s="157" t="s">
        <v>54</v>
      </c>
      <c r="C72" s="83"/>
      <c r="D72" s="83"/>
      <c r="E72" s="154">
        <f t="shared" ref="E72" si="241">C72-D72</f>
        <v>0</v>
      </c>
      <c r="F72" s="83">
        <f t="shared" si="172"/>
        <v>0</v>
      </c>
      <c r="G72" s="83"/>
      <c r="H72" s="154">
        <f t="shared" ref="H72" si="242">F72-G72</f>
        <v>0</v>
      </c>
      <c r="I72" s="83">
        <f t="shared" si="231"/>
        <v>0</v>
      </c>
      <c r="J72" s="83"/>
      <c r="K72" s="154">
        <f t="shared" ref="K72" si="243">I72-J72</f>
        <v>0</v>
      </c>
      <c r="L72" s="83">
        <f t="shared" si="232"/>
        <v>0</v>
      </c>
      <c r="M72" s="83"/>
      <c r="N72" s="154">
        <f t="shared" ref="N72" si="244">L72-M72</f>
        <v>0</v>
      </c>
      <c r="O72" s="83">
        <f t="shared" si="233"/>
        <v>0</v>
      </c>
      <c r="P72" s="83"/>
      <c r="Q72" s="154">
        <f t="shared" ref="Q72" si="245">O72-P72</f>
        <v>0</v>
      </c>
      <c r="R72" s="83">
        <f t="shared" si="234"/>
        <v>0</v>
      </c>
      <c r="S72" s="83"/>
      <c r="T72" s="154">
        <f t="shared" ref="T72" si="246">R72-S72</f>
        <v>0</v>
      </c>
      <c r="U72" s="83">
        <f t="shared" si="235"/>
        <v>0</v>
      </c>
      <c r="V72" s="83"/>
      <c r="W72" s="154">
        <f t="shared" ref="W72" si="247">U72-V72</f>
        <v>0</v>
      </c>
      <c r="X72" s="83">
        <f t="shared" si="236"/>
        <v>0</v>
      </c>
      <c r="Y72" s="83"/>
      <c r="Z72" s="154">
        <f t="shared" ref="Z72" si="248">X72-Y72</f>
        <v>0</v>
      </c>
      <c r="AA72" s="83">
        <f t="shared" si="237"/>
        <v>0</v>
      </c>
      <c r="AB72" s="83"/>
      <c r="AC72" s="154">
        <f t="shared" ref="AC72" si="249">AA72-AB72</f>
        <v>0</v>
      </c>
      <c r="AD72" s="83">
        <f t="shared" si="238"/>
        <v>0</v>
      </c>
      <c r="AE72" s="83"/>
      <c r="AF72" s="154">
        <f t="shared" ref="AF72" si="250">AD72-AE72</f>
        <v>0</v>
      </c>
      <c r="AG72" s="83">
        <f t="shared" si="239"/>
        <v>0</v>
      </c>
      <c r="AH72" s="84"/>
      <c r="AI72" s="155">
        <f t="shared" ref="AI72" si="251">AG72-AH72</f>
        <v>0</v>
      </c>
      <c r="AJ72" s="83">
        <f t="shared" si="240"/>
        <v>0</v>
      </c>
      <c r="AK72" s="84"/>
      <c r="AL72" s="156">
        <f t="shared" ref="AL72" si="252">AJ72-AK72</f>
        <v>0</v>
      </c>
    </row>
    <row r="73" spans="2:38" s="130" customFormat="1" ht="15.75" x14ac:dyDescent="0.25">
      <c r="B73" s="157" t="s">
        <v>63</v>
      </c>
      <c r="C73" s="83"/>
      <c r="D73" s="83"/>
      <c r="E73" s="154">
        <f t="shared" ref="E73:E77" si="253">C73-D73</f>
        <v>0</v>
      </c>
      <c r="F73" s="83">
        <f t="shared" si="172"/>
        <v>0</v>
      </c>
      <c r="G73" s="83"/>
      <c r="H73" s="154">
        <f t="shared" ref="H73:H77" si="254">F73-G73</f>
        <v>0</v>
      </c>
      <c r="I73" s="83">
        <f t="shared" si="231"/>
        <v>0</v>
      </c>
      <c r="J73" s="83"/>
      <c r="K73" s="154">
        <f t="shared" ref="K73:K77" si="255">I73-J73</f>
        <v>0</v>
      </c>
      <c r="L73" s="83">
        <f t="shared" si="232"/>
        <v>0</v>
      </c>
      <c r="M73" s="83"/>
      <c r="N73" s="154">
        <f t="shared" ref="N73:N77" si="256">L73-M73</f>
        <v>0</v>
      </c>
      <c r="O73" s="83">
        <f t="shared" si="233"/>
        <v>0</v>
      </c>
      <c r="P73" s="83"/>
      <c r="Q73" s="154">
        <f t="shared" ref="Q73:Q77" si="257">O73-P73</f>
        <v>0</v>
      </c>
      <c r="R73" s="83">
        <f t="shared" si="234"/>
        <v>0</v>
      </c>
      <c r="S73" s="83"/>
      <c r="T73" s="154">
        <f t="shared" ref="T73:T77" si="258">R73-S73</f>
        <v>0</v>
      </c>
      <c r="U73" s="83">
        <f t="shared" si="235"/>
        <v>0</v>
      </c>
      <c r="V73" s="83"/>
      <c r="W73" s="154">
        <f t="shared" ref="W73:W77" si="259">U73-V73</f>
        <v>0</v>
      </c>
      <c r="X73" s="83">
        <f t="shared" si="236"/>
        <v>0</v>
      </c>
      <c r="Y73" s="83"/>
      <c r="Z73" s="154">
        <f t="shared" ref="Z73:Z77" si="260">X73-Y73</f>
        <v>0</v>
      </c>
      <c r="AA73" s="83">
        <f t="shared" si="237"/>
        <v>0</v>
      </c>
      <c r="AB73" s="83"/>
      <c r="AC73" s="154">
        <f t="shared" ref="AC73:AC77" si="261">AA73-AB73</f>
        <v>0</v>
      </c>
      <c r="AD73" s="83">
        <f t="shared" si="238"/>
        <v>0</v>
      </c>
      <c r="AE73" s="83"/>
      <c r="AF73" s="154">
        <f t="shared" ref="AF73:AF77" si="262">AD73-AE73</f>
        <v>0</v>
      </c>
      <c r="AG73" s="83">
        <f t="shared" si="239"/>
        <v>0</v>
      </c>
      <c r="AH73" s="84"/>
      <c r="AI73" s="155">
        <f t="shared" ref="AI73:AI77" si="263">AG73-AH73</f>
        <v>0</v>
      </c>
      <c r="AJ73" s="83">
        <f t="shared" si="240"/>
        <v>0</v>
      </c>
      <c r="AK73" s="84"/>
      <c r="AL73" s="156">
        <f t="shared" ref="AL73:AL77" si="264">AJ73-AK73</f>
        <v>0</v>
      </c>
    </row>
    <row r="74" spans="2:38" s="130" customFormat="1" ht="15.75" x14ac:dyDescent="0.25">
      <c r="B74" s="157" t="s">
        <v>64</v>
      </c>
      <c r="C74" s="83"/>
      <c r="D74" s="83"/>
      <c r="E74" s="154">
        <f t="shared" ref="E74:E75" si="265">C74-D74</f>
        <v>0</v>
      </c>
      <c r="F74" s="83">
        <f t="shared" si="172"/>
        <v>0</v>
      </c>
      <c r="G74" s="83"/>
      <c r="H74" s="154">
        <f t="shared" ref="H74:H75" si="266">F74-G74</f>
        <v>0</v>
      </c>
      <c r="I74" s="83">
        <f t="shared" si="231"/>
        <v>0</v>
      </c>
      <c r="J74" s="83"/>
      <c r="K74" s="154">
        <f t="shared" ref="K74:K75" si="267">I74-J74</f>
        <v>0</v>
      </c>
      <c r="L74" s="83">
        <f t="shared" si="232"/>
        <v>0</v>
      </c>
      <c r="M74" s="83"/>
      <c r="N74" s="154">
        <f t="shared" ref="N74:N75" si="268">L74-M74</f>
        <v>0</v>
      </c>
      <c r="O74" s="83">
        <f t="shared" si="233"/>
        <v>0</v>
      </c>
      <c r="P74" s="83"/>
      <c r="Q74" s="154">
        <f t="shared" ref="Q74:Q75" si="269">O74-P74</f>
        <v>0</v>
      </c>
      <c r="R74" s="83">
        <f t="shared" si="234"/>
        <v>0</v>
      </c>
      <c r="S74" s="83"/>
      <c r="T74" s="154">
        <f t="shared" ref="T74:T75" si="270">R74-S74</f>
        <v>0</v>
      </c>
      <c r="U74" s="83">
        <f t="shared" si="235"/>
        <v>0</v>
      </c>
      <c r="V74" s="83"/>
      <c r="W74" s="154">
        <f t="shared" ref="W74:W75" si="271">U74-V74</f>
        <v>0</v>
      </c>
      <c r="X74" s="83">
        <f t="shared" si="236"/>
        <v>0</v>
      </c>
      <c r="Y74" s="83"/>
      <c r="Z74" s="154">
        <f t="shared" ref="Z74:Z75" si="272">X74-Y74</f>
        <v>0</v>
      </c>
      <c r="AA74" s="83">
        <f t="shared" si="237"/>
        <v>0</v>
      </c>
      <c r="AB74" s="83"/>
      <c r="AC74" s="154">
        <f t="shared" ref="AC74:AC75" si="273">AA74-AB74</f>
        <v>0</v>
      </c>
      <c r="AD74" s="83">
        <f t="shared" si="238"/>
        <v>0</v>
      </c>
      <c r="AE74" s="83"/>
      <c r="AF74" s="154">
        <f t="shared" ref="AF74:AF75" si="274">AD74-AE74</f>
        <v>0</v>
      </c>
      <c r="AG74" s="83">
        <f t="shared" si="239"/>
        <v>0</v>
      </c>
      <c r="AH74" s="84"/>
      <c r="AI74" s="155">
        <f t="shared" ref="AI74:AI75" si="275">AG74-AH74</f>
        <v>0</v>
      </c>
      <c r="AJ74" s="83">
        <f t="shared" si="240"/>
        <v>0</v>
      </c>
      <c r="AK74" s="84"/>
      <c r="AL74" s="156">
        <f t="shared" ref="AL74:AL75" si="276">AJ74-AK74</f>
        <v>0</v>
      </c>
    </row>
    <row r="75" spans="2:38" s="130" customFormat="1" ht="15.75" x14ac:dyDescent="0.25">
      <c r="B75" s="157" t="s">
        <v>65</v>
      </c>
      <c r="C75" s="83"/>
      <c r="D75" s="83"/>
      <c r="E75" s="154">
        <f t="shared" si="265"/>
        <v>0</v>
      </c>
      <c r="F75" s="83">
        <f t="shared" si="172"/>
        <v>0</v>
      </c>
      <c r="G75" s="83"/>
      <c r="H75" s="154">
        <f t="shared" si="266"/>
        <v>0</v>
      </c>
      <c r="I75" s="83">
        <f t="shared" si="231"/>
        <v>0</v>
      </c>
      <c r="J75" s="83"/>
      <c r="K75" s="154">
        <f t="shared" si="267"/>
        <v>0</v>
      </c>
      <c r="L75" s="83">
        <f t="shared" si="232"/>
        <v>0</v>
      </c>
      <c r="M75" s="83"/>
      <c r="N75" s="154">
        <f t="shared" si="268"/>
        <v>0</v>
      </c>
      <c r="O75" s="83">
        <f t="shared" si="233"/>
        <v>0</v>
      </c>
      <c r="P75" s="83"/>
      <c r="Q75" s="154">
        <f t="shared" si="269"/>
        <v>0</v>
      </c>
      <c r="R75" s="83">
        <f t="shared" si="234"/>
        <v>0</v>
      </c>
      <c r="S75" s="83"/>
      <c r="T75" s="154">
        <f t="shared" si="270"/>
        <v>0</v>
      </c>
      <c r="U75" s="83">
        <f t="shared" si="235"/>
        <v>0</v>
      </c>
      <c r="V75" s="83"/>
      <c r="W75" s="154">
        <f t="shared" si="271"/>
        <v>0</v>
      </c>
      <c r="X75" s="83">
        <f t="shared" si="236"/>
        <v>0</v>
      </c>
      <c r="Y75" s="83"/>
      <c r="Z75" s="154">
        <f t="shared" si="272"/>
        <v>0</v>
      </c>
      <c r="AA75" s="83">
        <f t="shared" si="237"/>
        <v>0</v>
      </c>
      <c r="AB75" s="83"/>
      <c r="AC75" s="154">
        <f t="shared" si="273"/>
        <v>0</v>
      </c>
      <c r="AD75" s="83">
        <f t="shared" si="238"/>
        <v>0</v>
      </c>
      <c r="AE75" s="83"/>
      <c r="AF75" s="154">
        <f t="shared" si="274"/>
        <v>0</v>
      </c>
      <c r="AG75" s="83">
        <f t="shared" si="239"/>
        <v>0</v>
      </c>
      <c r="AH75" s="84"/>
      <c r="AI75" s="155">
        <f t="shared" si="275"/>
        <v>0</v>
      </c>
      <c r="AJ75" s="83">
        <f t="shared" si="240"/>
        <v>0</v>
      </c>
      <c r="AK75" s="84"/>
      <c r="AL75" s="156">
        <f t="shared" si="276"/>
        <v>0</v>
      </c>
    </row>
    <row r="76" spans="2:38" s="130" customFormat="1" ht="15.75" hidden="1" outlineLevel="1" x14ac:dyDescent="0.25">
      <c r="B76" s="85"/>
      <c r="C76" s="83"/>
      <c r="D76" s="83"/>
      <c r="E76" s="154">
        <f t="shared" si="253"/>
        <v>0</v>
      </c>
      <c r="F76" s="83">
        <f t="shared" si="172"/>
        <v>0</v>
      </c>
      <c r="G76" s="83"/>
      <c r="H76" s="154">
        <f t="shared" si="254"/>
        <v>0</v>
      </c>
      <c r="I76" s="83">
        <f t="shared" si="231"/>
        <v>0</v>
      </c>
      <c r="J76" s="83"/>
      <c r="K76" s="154">
        <f t="shared" si="255"/>
        <v>0</v>
      </c>
      <c r="L76" s="83">
        <f t="shared" si="232"/>
        <v>0</v>
      </c>
      <c r="M76" s="83"/>
      <c r="N76" s="154">
        <f t="shared" si="256"/>
        <v>0</v>
      </c>
      <c r="O76" s="83">
        <f t="shared" si="233"/>
        <v>0</v>
      </c>
      <c r="P76" s="83"/>
      <c r="Q76" s="154">
        <f t="shared" si="257"/>
        <v>0</v>
      </c>
      <c r="R76" s="83">
        <f t="shared" si="234"/>
        <v>0</v>
      </c>
      <c r="S76" s="83"/>
      <c r="T76" s="154">
        <f t="shared" si="258"/>
        <v>0</v>
      </c>
      <c r="U76" s="83">
        <f t="shared" si="235"/>
        <v>0</v>
      </c>
      <c r="V76" s="83"/>
      <c r="W76" s="154">
        <f t="shared" si="259"/>
        <v>0</v>
      </c>
      <c r="X76" s="83">
        <f t="shared" si="236"/>
        <v>0</v>
      </c>
      <c r="Y76" s="83"/>
      <c r="Z76" s="154">
        <f t="shared" si="260"/>
        <v>0</v>
      </c>
      <c r="AA76" s="83">
        <f t="shared" si="237"/>
        <v>0</v>
      </c>
      <c r="AB76" s="83"/>
      <c r="AC76" s="154">
        <f t="shared" si="261"/>
        <v>0</v>
      </c>
      <c r="AD76" s="83">
        <f t="shared" si="238"/>
        <v>0</v>
      </c>
      <c r="AE76" s="83"/>
      <c r="AF76" s="154">
        <f t="shared" si="262"/>
        <v>0</v>
      </c>
      <c r="AG76" s="83">
        <f t="shared" si="239"/>
        <v>0</v>
      </c>
      <c r="AH76" s="84"/>
      <c r="AI76" s="155">
        <f t="shared" si="263"/>
        <v>0</v>
      </c>
      <c r="AJ76" s="83">
        <f t="shared" si="240"/>
        <v>0</v>
      </c>
      <c r="AK76" s="84"/>
      <c r="AL76" s="156">
        <f t="shared" si="264"/>
        <v>0</v>
      </c>
    </row>
    <row r="77" spans="2:38" s="130" customFormat="1" ht="15.75" hidden="1" outlineLevel="1" x14ac:dyDescent="0.25">
      <c r="B77" s="85"/>
      <c r="C77" s="83"/>
      <c r="D77" s="83"/>
      <c r="E77" s="154">
        <f t="shared" si="253"/>
        <v>0</v>
      </c>
      <c r="F77" s="83">
        <f t="shared" si="172"/>
        <v>0</v>
      </c>
      <c r="G77" s="83"/>
      <c r="H77" s="154">
        <f t="shared" si="254"/>
        <v>0</v>
      </c>
      <c r="I77" s="83">
        <f t="shared" si="231"/>
        <v>0</v>
      </c>
      <c r="J77" s="83"/>
      <c r="K77" s="154">
        <f t="shared" si="255"/>
        <v>0</v>
      </c>
      <c r="L77" s="83">
        <f t="shared" si="232"/>
        <v>0</v>
      </c>
      <c r="M77" s="83"/>
      <c r="N77" s="154">
        <f t="shared" si="256"/>
        <v>0</v>
      </c>
      <c r="O77" s="83">
        <f t="shared" si="233"/>
        <v>0</v>
      </c>
      <c r="P77" s="83"/>
      <c r="Q77" s="154">
        <f t="shared" si="257"/>
        <v>0</v>
      </c>
      <c r="R77" s="83">
        <f t="shared" si="234"/>
        <v>0</v>
      </c>
      <c r="S77" s="83"/>
      <c r="T77" s="154">
        <f t="shared" si="258"/>
        <v>0</v>
      </c>
      <c r="U77" s="83">
        <f t="shared" si="235"/>
        <v>0</v>
      </c>
      <c r="V77" s="83"/>
      <c r="W77" s="154">
        <f t="shared" si="259"/>
        <v>0</v>
      </c>
      <c r="X77" s="83">
        <f t="shared" si="236"/>
        <v>0</v>
      </c>
      <c r="Y77" s="83"/>
      <c r="Z77" s="154">
        <f t="shared" si="260"/>
        <v>0</v>
      </c>
      <c r="AA77" s="83">
        <f t="shared" si="237"/>
        <v>0</v>
      </c>
      <c r="AB77" s="83"/>
      <c r="AC77" s="154">
        <f t="shared" si="261"/>
        <v>0</v>
      </c>
      <c r="AD77" s="83">
        <f t="shared" si="238"/>
        <v>0</v>
      </c>
      <c r="AE77" s="83"/>
      <c r="AF77" s="154">
        <f t="shared" si="262"/>
        <v>0</v>
      </c>
      <c r="AG77" s="83">
        <f t="shared" si="239"/>
        <v>0</v>
      </c>
      <c r="AH77" s="84"/>
      <c r="AI77" s="155">
        <f t="shared" si="263"/>
        <v>0</v>
      </c>
      <c r="AJ77" s="83">
        <f t="shared" si="240"/>
        <v>0</v>
      </c>
      <c r="AK77" s="84"/>
      <c r="AL77" s="156">
        <f t="shared" si="264"/>
        <v>0</v>
      </c>
    </row>
    <row r="78" spans="2:38" s="130" customFormat="1" ht="15.75" hidden="1" outlineLevel="1" x14ac:dyDescent="0.25">
      <c r="B78" s="85"/>
      <c r="C78" s="83"/>
      <c r="D78" s="83"/>
      <c r="E78" s="154">
        <f t="shared" si="196"/>
        <v>0</v>
      </c>
      <c r="F78" s="83">
        <f t="shared" si="172"/>
        <v>0</v>
      </c>
      <c r="G78" s="83"/>
      <c r="H78" s="154">
        <f t="shared" si="197"/>
        <v>0</v>
      </c>
      <c r="I78" s="83">
        <f t="shared" si="231"/>
        <v>0</v>
      </c>
      <c r="J78" s="83"/>
      <c r="K78" s="154">
        <f t="shared" si="199"/>
        <v>0</v>
      </c>
      <c r="L78" s="83">
        <f t="shared" si="232"/>
        <v>0</v>
      </c>
      <c r="M78" s="83"/>
      <c r="N78" s="154">
        <f t="shared" si="201"/>
        <v>0</v>
      </c>
      <c r="O78" s="83">
        <f t="shared" si="233"/>
        <v>0</v>
      </c>
      <c r="P78" s="83"/>
      <c r="Q78" s="154">
        <f t="shared" si="203"/>
        <v>0</v>
      </c>
      <c r="R78" s="83">
        <f t="shared" si="234"/>
        <v>0</v>
      </c>
      <c r="S78" s="83"/>
      <c r="T78" s="154">
        <f t="shared" si="205"/>
        <v>0</v>
      </c>
      <c r="U78" s="83">
        <f t="shared" si="235"/>
        <v>0</v>
      </c>
      <c r="V78" s="83"/>
      <c r="W78" s="154">
        <f t="shared" si="207"/>
        <v>0</v>
      </c>
      <c r="X78" s="83">
        <f t="shared" si="236"/>
        <v>0</v>
      </c>
      <c r="Y78" s="83"/>
      <c r="Z78" s="154">
        <f t="shared" si="209"/>
        <v>0</v>
      </c>
      <c r="AA78" s="83">
        <f t="shared" si="237"/>
        <v>0</v>
      </c>
      <c r="AB78" s="83"/>
      <c r="AC78" s="154">
        <f t="shared" si="211"/>
        <v>0</v>
      </c>
      <c r="AD78" s="83">
        <f t="shared" si="238"/>
        <v>0</v>
      </c>
      <c r="AE78" s="83"/>
      <c r="AF78" s="154">
        <f t="shared" si="213"/>
        <v>0</v>
      </c>
      <c r="AG78" s="83">
        <f t="shared" si="239"/>
        <v>0</v>
      </c>
      <c r="AH78" s="84"/>
      <c r="AI78" s="155">
        <f t="shared" si="215"/>
        <v>0</v>
      </c>
      <c r="AJ78" s="83">
        <f t="shared" si="240"/>
        <v>0</v>
      </c>
      <c r="AK78" s="84"/>
      <c r="AL78" s="156">
        <f t="shared" si="217"/>
        <v>0</v>
      </c>
    </row>
    <row r="79" spans="2:38" s="130" customFormat="1" ht="15.75" collapsed="1" x14ac:dyDescent="0.25">
      <c r="B79" s="158" t="s">
        <v>61</v>
      </c>
      <c r="C79" s="154">
        <f>SUM(C80:C85)</f>
        <v>0</v>
      </c>
      <c r="D79" s="154">
        <f t="shared" ref="D79:AL79" si="277">SUM(D80:D85)</f>
        <v>0</v>
      </c>
      <c r="E79" s="154">
        <f t="shared" si="277"/>
        <v>0</v>
      </c>
      <c r="F79" s="154">
        <f t="shared" si="277"/>
        <v>0</v>
      </c>
      <c r="G79" s="154">
        <f t="shared" si="277"/>
        <v>0</v>
      </c>
      <c r="H79" s="154">
        <f t="shared" si="277"/>
        <v>0</v>
      </c>
      <c r="I79" s="154">
        <f t="shared" si="277"/>
        <v>0</v>
      </c>
      <c r="J79" s="154">
        <f t="shared" si="277"/>
        <v>0</v>
      </c>
      <c r="K79" s="154">
        <f t="shared" si="277"/>
        <v>0</v>
      </c>
      <c r="L79" s="154">
        <f t="shared" si="277"/>
        <v>0</v>
      </c>
      <c r="M79" s="154">
        <f t="shared" si="277"/>
        <v>0</v>
      </c>
      <c r="N79" s="154">
        <f t="shared" si="277"/>
        <v>0</v>
      </c>
      <c r="O79" s="154">
        <f t="shared" si="277"/>
        <v>0</v>
      </c>
      <c r="P79" s="154">
        <f t="shared" si="277"/>
        <v>0</v>
      </c>
      <c r="Q79" s="154">
        <f t="shared" si="277"/>
        <v>0</v>
      </c>
      <c r="R79" s="154">
        <f t="shared" si="277"/>
        <v>0</v>
      </c>
      <c r="S79" s="154">
        <f t="shared" si="277"/>
        <v>0</v>
      </c>
      <c r="T79" s="154">
        <f t="shared" si="277"/>
        <v>0</v>
      </c>
      <c r="U79" s="154">
        <f t="shared" si="277"/>
        <v>0</v>
      </c>
      <c r="V79" s="154">
        <f t="shared" si="277"/>
        <v>0</v>
      </c>
      <c r="W79" s="154">
        <f t="shared" si="277"/>
        <v>0</v>
      </c>
      <c r="X79" s="154">
        <f t="shared" si="277"/>
        <v>0</v>
      </c>
      <c r="Y79" s="154">
        <f t="shared" si="277"/>
        <v>0</v>
      </c>
      <c r="Z79" s="154">
        <f t="shared" si="277"/>
        <v>0</v>
      </c>
      <c r="AA79" s="154">
        <f t="shared" si="277"/>
        <v>0</v>
      </c>
      <c r="AB79" s="154">
        <f t="shared" si="277"/>
        <v>0</v>
      </c>
      <c r="AC79" s="154">
        <f t="shared" si="277"/>
        <v>0</v>
      </c>
      <c r="AD79" s="154">
        <f t="shared" si="277"/>
        <v>0</v>
      </c>
      <c r="AE79" s="154">
        <f t="shared" si="277"/>
        <v>0</v>
      </c>
      <c r="AF79" s="154">
        <f t="shared" si="277"/>
        <v>0</v>
      </c>
      <c r="AG79" s="154">
        <f t="shared" si="277"/>
        <v>0</v>
      </c>
      <c r="AH79" s="155">
        <f t="shared" si="277"/>
        <v>0</v>
      </c>
      <c r="AI79" s="155">
        <f t="shared" si="277"/>
        <v>0</v>
      </c>
      <c r="AJ79" s="154">
        <f t="shared" si="277"/>
        <v>0</v>
      </c>
      <c r="AK79" s="155">
        <f t="shared" si="277"/>
        <v>0</v>
      </c>
      <c r="AL79" s="156">
        <f t="shared" si="277"/>
        <v>0</v>
      </c>
    </row>
    <row r="80" spans="2:38" s="130" customFormat="1" ht="15.75" x14ac:dyDescent="0.25">
      <c r="B80" s="157" t="s">
        <v>23</v>
      </c>
      <c r="C80" s="83"/>
      <c r="D80" s="83"/>
      <c r="E80" s="154">
        <f t="shared" si="196"/>
        <v>0</v>
      </c>
      <c r="F80" s="83">
        <f t="shared" si="172"/>
        <v>0</v>
      </c>
      <c r="G80" s="83"/>
      <c r="H80" s="154">
        <f t="shared" si="197"/>
        <v>0</v>
      </c>
      <c r="I80" s="83">
        <f t="shared" ref="I80:I85" si="278">$C80</f>
        <v>0</v>
      </c>
      <c r="J80" s="83"/>
      <c r="K80" s="154">
        <f t="shared" si="199"/>
        <v>0</v>
      </c>
      <c r="L80" s="83">
        <f t="shared" ref="L80:L85" si="279">$C80</f>
        <v>0</v>
      </c>
      <c r="M80" s="83"/>
      <c r="N80" s="154">
        <f t="shared" si="201"/>
        <v>0</v>
      </c>
      <c r="O80" s="83">
        <f t="shared" ref="O80:O85" si="280">$C80</f>
        <v>0</v>
      </c>
      <c r="P80" s="83"/>
      <c r="Q80" s="154">
        <f t="shared" si="203"/>
        <v>0</v>
      </c>
      <c r="R80" s="83">
        <f t="shared" ref="R80:R85" si="281">$C80</f>
        <v>0</v>
      </c>
      <c r="S80" s="83"/>
      <c r="T80" s="154">
        <f t="shared" si="205"/>
        <v>0</v>
      </c>
      <c r="U80" s="83">
        <f t="shared" ref="U80:U85" si="282">$C80</f>
        <v>0</v>
      </c>
      <c r="V80" s="83"/>
      <c r="W80" s="154">
        <f t="shared" si="207"/>
        <v>0</v>
      </c>
      <c r="X80" s="83">
        <f t="shared" ref="X80:X85" si="283">$C80</f>
        <v>0</v>
      </c>
      <c r="Y80" s="83"/>
      <c r="Z80" s="154">
        <f t="shared" si="209"/>
        <v>0</v>
      </c>
      <c r="AA80" s="83">
        <f t="shared" ref="AA80:AA85" si="284">$C80</f>
        <v>0</v>
      </c>
      <c r="AB80" s="83"/>
      <c r="AC80" s="154">
        <f t="shared" si="211"/>
        <v>0</v>
      </c>
      <c r="AD80" s="83">
        <f t="shared" ref="AD80:AD85" si="285">$C80</f>
        <v>0</v>
      </c>
      <c r="AE80" s="83"/>
      <c r="AF80" s="154">
        <f t="shared" si="213"/>
        <v>0</v>
      </c>
      <c r="AG80" s="83">
        <f t="shared" ref="AG80:AG85" si="286">$C80</f>
        <v>0</v>
      </c>
      <c r="AH80" s="84"/>
      <c r="AI80" s="155">
        <f t="shared" si="215"/>
        <v>0</v>
      </c>
      <c r="AJ80" s="83">
        <f t="shared" ref="AJ80:AJ85" si="287">$C80</f>
        <v>0</v>
      </c>
      <c r="AK80" s="84"/>
      <c r="AL80" s="156">
        <f t="shared" si="217"/>
        <v>0</v>
      </c>
    </row>
    <row r="81" spans="2:38" s="130" customFormat="1" ht="15.75" x14ac:dyDescent="0.25">
      <c r="B81" s="157" t="s">
        <v>24</v>
      </c>
      <c r="C81" s="83"/>
      <c r="D81" s="83"/>
      <c r="E81" s="154">
        <f t="shared" si="196"/>
        <v>0</v>
      </c>
      <c r="F81" s="83">
        <f t="shared" si="172"/>
        <v>0</v>
      </c>
      <c r="G81" s="83"/>
      <c r="H81" s="154">
        <f t="shared" si="197"/>
        <v>0</v>
      </c>
      <c r="I81" s="83">
        <f t="shared" si="278"/>
        <v>0</v>
      </c>
      <c r="J81" s="83"/>
      <c r="K81" s="154">
        <f t="shared" si="199"/>
        <v>0</v>
      </c>
      <c r="L81" s="83">
        <f t="shared" si="279"/>
        <v>0</v>
      </c>
      <c r="M81" s="83"/>
      <c r="N81" s="154">
        <f t="shared" si="201"/>
        <v>0</v>
      </c>
      <c r="O81" s="83">
        <f t="shared" si="280"/>
        <v>0</v>
      </c>
      <c r="P81" s="83"/>
      <c r="Q81" s="154">
        <f t="shared" si="203"/>
        <v>0</v>
      </c>
      <c r="R81" s="83">
        <f t="shared" si="281"/>
        <v>0</v>
      </c>
      <c r="S81" s="83"/>
      <c r="T81" s="154">
        <f t="shared" si="205"/>
        <v>0</v>
      </c>
      <c r="U81" s="83">
        <f t="shared" si="282"/>
        <v>0</v>
      </c>
      <c r="V81" s="83"/>
      <c r="W81" s="154">
        <f t="shared" si="207"/>
        <v>0</v>
      </c>
      <c r="X81" s="83">
        <f t="shared" si="283"/>
        <v>0</v>
      </c>
      <c r="Y81" s="83"/>
      <c r="Z81" s="154">
        <f t="shared" si="209"/>
        <v>0</v>
      </c>
      <c r="AA81" s="83">
        <f t="shared" si="284"/>
        <v>0</v>
      </c>
      <c r="AB81" s="83"/>
      <c r="AC81" s="154">
        <f t="shared" si="211"/>
        <v>0</v>
      </c>
      <c r="AD81" s="83">
        <f t="shared" si="285"/>
        <v>0</v>
      </c>
      <c r="AE81" s="83"/>
      <c r="AF81" s="154">
        <f t="shared" si="213"/>
        <v>0</v>
      </c>
      <c r="AG81" s="83">
        <f t="shared" si="286"/>
        <v>0</v>
      </c>
      <c r="AH81" s="84"/>
      <c r="AI81" s="155">
        <f t="shared" si="215"/>
        <v>0</v>
      </c>
      <c r="AJ81" s="83">
        <f t="shared" si="287"/>
        <v>0</v>
      </c>
      <c r="AK81" s="84"/>
      <c r="AL81" s="156">
        <f t="shared" si="217"/>
        <v>0</v>
      </c>
    </row>
    <row r="82" spans="2:38" s="130" customFormat="1" ht="15.75" x14ac:dyDescent="0.25">
      <c r="B82" s="157" t="s">
        <v>25</v>
      </c>
      <c r="C82" s="83"/>
      <c r="D82" s="83"/>
      <c r="E82" s="154">
        <f t="shared" ref="E82:E84" si="288">C82-D82</f>
        <v>0</v>
      </c>
      <c r="F82" s="83">
        <f t="shared" si="172"/>
        <v>0</v>
      </c>
      <c r="G82" s="83"/>
      <c r="H82" s="154">
        <f t="shared" ref="H82:H84" si="289">F82-G82</f>
        <v>0</v>
      </c>
      <c r="I82" s="83">
        <f t="shared" si="278"/>
        <v>0</v>
      </c>
      <c r="J82" s="83"/>
      <c r="K82" s="154">
        <f t="shared" ref="K82:K84" si="290">I82-J82</f>
        <v>0</v>
      </c>
      <c r="L82" s="83">
        <f t="shared" si="279"/>
        <v>0</v>
      </c>
      <c r="M82" s="83"/>
      <c r="N82" s="154">
        <f t="shared" ref="N82:N84" si="291">L82-M82</f>
        <v>0</v>
      </c>
      <c r="O82" s="83">
        <f t="shared" si="280"/>
        <v>0</v>
      </c>
      <c r="P82" s="83"/>
      <c r="Q82" s="154">
        <f t="shared" ref="Q82:Q84" si="292">O82-P82</f>
        <v>0</v>
      </c>
      <c r="R82" s="83">
        <f t="shared" si="281"/>
        <v>0</v>
      </c>
      <c r="S82" s="83"/>
      <c r="T82" s="154">
        <f t="shared" ref="T82:T84" si="293">R82-S82</f>
        <v>0</v>
      </c>
      <c r="U82" s="83">
        <f t="shared" si="282"/>
        <v>0</v>
      </c>
      <c r="V82" s="83"/>
      <c r="W82" s="154">
        <f t="shared" ref="W82:W84" si="294">U82-V82</f>
        <v>0</v>
      </c>
      <c r="X82" s="83">
        <f t="shared" si="283"/>
        <v>0</v>
      </c>
      <c r="Y82" s="83"/>
      <c r="Z82" s="154">
        <f t="shared" ref="Z82:Z84" si="295">X82-Y82</f>
        <v>0</v>
      </c>
      <c r="AA82" s="83">
        <f t="shared" si="284"/>
        <v>0</v>
      </c>
      <c r="AB82" s="83"/>
      <c r="AC82" s="154">
        <f t="shared" ref="AC82:AC84" si="296">AA82-AB82</f>
        <v>0</v>
      </c>
      <c r="AD82" s="83">
        <f t="shared" si="285"/>
        <v>0</v>
      </c>
      <c r="AE82" s="83"/>
      <c r="AF82" s="154">
        <f t="shared" ref="AF82:AF84" si="297">AD82-AE82</f>
        <v>0</v>
      </c>
      <c r="AG82" s="83">
        <f t="shared" si="286"/>
        <v>0</v>
      </c>
      <c r="AH82" s="84"/>
      <c r="AI82" s="155">
        <f t="shared" ref="AI82:AI84" si="298">AG82-AH82</f>
        <v>0</v>
      </c>
      <c r="AJ82" s="83">
        <f t="shared" si="287"/>
        <v>0</v>
      </c>
      <c r="AK82" s="84"/>
      <c r="AL82" s="156">
        <f t="shared" ref="AL82:AL84" si="299">AJ82-AK82</f>
        <v>0</v>
      </c>
    </row>
    <row r="83" spans="2:38" s="130" customFormat="1" ht="15.75" hidden="1" outlineLevel="1" x14ac:dyDescent="0.25">
      <c r="B83" s="85"/>
      <c r="C83" s="83"/>
      <c r="D83" s="83"/>
      <c r="E83" s="154">
        <f t="shared" si="288"/>
        <v>0</v>
      </c>
      <c r="F83" s="83">
        <f t="shared" si="172"/>
        <v>0</v>
      </c>
      <c r="G83" s="83"/>
      <c r="H83" s="154">
        <f t="shared" si="289"/>
        <v>0</v>
      </c>
      <c r="I83" s="83">
        <f t="shared" si="278"/>
        <v>0</v>
      </c>
      <c r="J83" s="83"/>
      <c r="K83" s="154">
        <f t="shared" si="290"/>
        <v>0</v>
      </c>
      <c r="L83" s="83">
        <f t="shared" si="279"/>
        <v>0</v>
      </c>
      <c r="M83" s="83"/>
      <c r="N83" s="154">
        <f t="shared" si="291"/>
        <v>0</v>
      </c>
      <c r="O83" s="83">
        <f t="shared" si="280"/>
        <v>0</v>
      </c>
      <c r="P83" s="83"/>
      <c r="Q83" s="154">
        <f t="shared" si="292"/>
        <v>0</v>
      </c>
      <c r="R83" s="83">
        <f t="shared" si="281"/>
        <v>0</v>
      </c>
      <c r="S83" s="83"/>
      <c r="T83" s="154">
        <f t="shared" si="293"/>
        <v>0</v>
      </c>
      <c r="U83" s="83">
        <f t="shared" si="282"/>
        <v>0</v>
      </c>
      <c r="V83" s="83"/>
      <c r="W83" s="154">
        <f t="shared" si="294"/>
        <v>0</v>
      </c>
      <c r="X83" s="83">
        <f t="shared" si="283"/>
        <v>0</v>
      </c>
      <c r="Y83" s="83"/>
      <c r="Z83" s="154">
        <f t="shared" si="295"/>
        <v>0</v>
      </c>
      <c r="AA83" s="83">
        <f t="shared" si="284"/>
        <v>0</v>
      </c>
      <c r="AB83" s="83"/>
      <c r="AC83" s="154">
        <f t="shared" si="296"/>
        <v>0</v>
      </c>
      <c r="AD83" s="83">
        <f t="shared" si="285"/>
        <v>0</v>
      </c>
      <c r="AE83" s="83"/>
      <c r="AF83" s="154">
        <f t="shared" si="297"/>
        <v>0</v>
      </c>
      <c r="AG83" s="83">
        <f t="shared" si="286"/>
        <v>0</v>
      </c>
      <c r="AH83" s="84"/>
      <c r="AI83" s="155">
        <f t="shared" si="298"/>
        <v>0</v>
      </c>
      <c r="AJ83" s="83">
        <f t="shared" si="287"/>
        <v>0</v>
      </c>
      <c r="AK83" s="84"/>
      <c r="AL83" s="156">
        <f t="shared" si="299"/>
        <v>0</v>
      </c>
    </row>
    <row r="84" spans="2:38" s="130" customFormat="1" ht="15.75" hidden="1" outlineLevel="1" x14ac:dyDescent="0.25">
      <c r="B84" s="85"/>
      <c r="C84" s="83"/>
      <c r="D84" s="83"/>
      <c r="E84" s="154">
        <f t="shared" si="288"/>
        <v>0</v>
      </c>
      <c r="F84" s="83">
        <f t="shared" si="172"/>
        <v>0</v>
      </c>
      <c r="G84" s="83"/>
      <c r="H84" s="154">
        <f t="shared" si="289"/>
        <v>0</v>
      </c>
      <c r="I84" s="83">
        <f t="shared" si="278"/>
        <v>0</v>
      </c>
      <c r="J84" s="83"/>
      <c r="K84" s="154">
        <f t="shared" si="290"/>
        <v>0</v>
      </c>
      <c r="L84" s="83">
        <f t="shared" si="279"/>
        <v>0</v>
      </c>
      <c r="M84" s="83"/>
      <c r="N84" s="154">
        <f t="shared" si="291"/>
        <v>0</v>
      </c>
      <c r="O84" s="83">
        <f t="shared" si="280"/>
        <v>0</v>
      </c>
      <c r="P84" s="83"/>
      <c r="Q84" s="154">
        <f t="shared" si="292"/>
        <v>0</v>
      </c>
      <c r="R84" s="83">
        <f t="shared" si="281"/>
        <v>0</v>
      </c>
      <c r="S84" s="83"/>
      <c r="T84" s="154">
        <f t="shared" si="293"/>
        <v>0</v>
      </c>
      <c r="U84" s="83">
        <f t="shared" si="282"/>
        <v>0</v>
      </c>
      <c r="V84" s="83"/>
      <c r="W84" s="154">
        <f t="shared" si="294"/>
        <v>0</v>
      </c>
      <c r="X84" s="83">
        <f t="shared" si="283"/>
        <v>0</v>
      </c>
      <c r="Y84" s="83"/>
      <c r="Z84" s="154">
        <f t="shared" si="295"/>
        <v>0</v>
      </c>
      <c r="AA84" s="83">
        <f t="shared" si="284"/>
        <v>0</v>
      </c>
      <c r="AB84" s="83"/>
      <c r="AC84" s="154">
        <f t="shared" si="296"/>
        <v>0</v>
      </c>
      <c r="AD84" s="83">
        <f t="shared" si="285"/>
        <v>0</v>
      </c>
      <c r="AE84" s="83"/>
      <c r="AF84" s="154">
        <f t="shared" si="297"/>
        <v>0</v>
      </c>
      <c r="AG84" s="83">
        <f t="shared" si="286"/>
        <v>0</v>
      </c>
      <c r="AH84" s="84"/>
      <c r="AI84" s="155">
        <f t="shared" si="298"/>
        <v>0</v>
      </c>
      <c r="AJ84" s="83">
        <f t="shared" si="287"/>
        <v>0</v>
      </c>
      <c r="AK84" s="84"/>
      <c r="AL84" s="156">
        <f t="shared" si="299"/>
        <v>0</v>
      </c>
    </row>
    <row r="85" spans="2:38" s="130" customFormat="1" ht="15.75" hidden="1" outlineLevel="1" x14ac:dyDescent="0.25">
      <c r="B85" s="85"/>
      <c r="C85" s="83"/>
      <c r="D85" s="83"/>
      <c r="E85" s="154">
        <f t="shared" si="196"/>
        <v>0</v>
      </c>
      <c r="F85" s="83">
        <f t="shared" si="172"/>
        <v>0</v>
      </c>
      <c r="G85" s="83"/>
      <c r="H85" s="154">
        <f t="shared" si="197"/>
        <v>0</v>
      </c>
      <c r="I85" s="83">
        <f t="shared" si="278"/>
        <v>0</v>
      </c>
      <c r="J85" s="83"/>
      <c r="K85" s="154">
        <f t="shared" si="199"/>
        <v>0</v>
      </c>
      <c r="L85" s="83">
        <f t="shared" si="279"/>
        <v>0</v>
      </c>
      <c r="M85" s="83"/>
      <c r="N85" s="154">
        <f t="shared" si="201"/>
        <v>0</v>
      </c>
      <c r="O85" s="83">
        <f t="shared" si="280"/>
        <v>0</v>
      </c>
      <c r="P85" s="83"/>
      <c r="Q85" s="154">
        <f t="shared" si="203"/>
        <v>0</v>
      </c>
      <c r="R85" s="83">
        <f t="shared" si="281"/>
        <v>0</v>
      </c>
      <c r="S85" s="83"/>
      <c r="T85" s="154">
        <f t="shared" si="205"/>
        <v>0</v>
      </c>
      <c r="U85" s="83">
        <f t="shared" si="282"/>
        <v>0</v>
      </c>
      <c r="V85" s="83"/>
      <c r="W85" s="154">
        <f t="shared" si="207"/>
        <v>0</v>
      </c>
      <c r="X85" s="83">
        <f t="shared" si="283"/>
        <v>0</v>
      </c>
      <c r="Y85" s="83"/>
      <c r="Z85" s="154">
        <f t="shared" si="209"/>
        <v>0</v>
      </c>
      <c r="AA85" s="83">
        <f t="shared" si="284"/>
        <v>0</v>
      </c>
      <c r="AB85" s="83"/>
      <c r="AC85" s="154">
        <f t="shared" si="211"/>
        <v>0</v>
      </c>
      <c r="AD85" s="83">
        <f t="shared" si="285"/>
        <v>0</v>
      </c>
      <c r="AE85" s="83"/>
      <c r="AF85" s="154">
        <f t="shared" si="213"/>
        <v>0</v>
      </c>
      <c r="AG85" s="83">
        <f t="shared" si="286"/>
        <v>0</v>
      </c>
      <c r="AH85" s="84"/>
      <c r="AI85" s="155">
        <f t="shared" si="215"/>
        <v>0</v>
      </c>
      <c r="AJ85" s="83">
        <f t="shared" si="287"/>
        <v>0</v>
      </c>
      <c r="AK85" s="84"/>
      <c r="AL85" s="156">
        <f t="shared" si="217"/>
        <v>0</v>
      </c>
    </row>
    <row r="86" spans="2:38" s="130" customFormat="1" ht="15.75" collapsed="1" x14ac:dyDescent="0.25">
      <c r="B86" s="158" t="s">
        <v>26</v>
      </c>
      <c r="C86" s="154">
        <f>SUM(C87:C91)</f>
        <v>0</v>
      </c>
      <c r="D86" s="154">
        <f t="shared" ref="D86:AL86" si="300">SUM(D87:D91)</f>
        <v>0</v>
      </c>
      <c r="E86" s="154">
        <f t="shared" si="300"/>
        <v>0</v>
      </c>
      <c r="F86" s="154">
        <f t="shared" si="300"/>
        <v>0</v>
      </c>
      <c r="G86" s="154">
        <f t="shared" si="300"/>
        <v>0</v>
      </c>
      <c r="H86" s="154">
        <f t="shared" si="300"/>
        <v>0</v>
      </c>
      <c r="I86" s="154">
        <f t="shared" si="300"/>
        <v>0</v>
      </c>
      <c r="J86" s="154">
        <f t="shared" si="300"/>
        <v>0</v>
      </c>
      <c r="K86" s="154">
        <f t="shared" si="300"/>
        <v>0</v>
      </c>
      <c r="L86" s="154">
        <f t="shared" si="300"/>
        <v>0</v>
      </c>
      <c r="M86" s="154">
        <f t="shared" si="300"/>
        <v>0</v>
      </c>
      <c r="N86" s="154">
        <f t="shared" si="300"/>
        <v>0</v>
      </c>
      <c r="O86" s="154">
        <f t="shared" si="300"/>
        <v>0</v>
      </c>
      <c r="P86" s="154">
        <f t="shared" si="300"/>
        <v>0</v>
      </c>
      <c r="Q86" s="154">
        <f t="shared" si="300"/>
        <v>0</v>
      </c>
      <c r="R86" s="154">
        <f t="shared" si="300"/>
        <v>0</v>
      </c>
      <c r="S86" s="154">
        <f t="shared" si="300"/>
        <v>0</v>
      </c>
      <c r="T86" s="154">
        <f t="shared" si="300"/>
        <v>0</v>
      </c>
      <c r="U86" s="154">
        <f t="shared" si="300"/>
        <v>0</v>
      </c>
      <c r="V86" s="154">
        <f t="shared" si="300"/>
        <v>0</v>
      </c>
      <c r="W86" s="154">
        <f t="shared" si="300"/>
        <v>0</v>
      </c>
      <c r="X86" s="154">
        <f t="shared" si="300"/>
        <v>0</v>
      </c>
      <c r="Y86" s="154">
        <f t="shared" si="300"/>
        <v>0</v>
      </c>
      <c r="Z86" s="154">
        <f t="shared" si="300"/>
        <v>0</v>
      </c>
      <c r="AA86" s="154">
        <f t="shared" si="300"/>
        <v>0</v>
      </c>
      <c r="AB86" s="154">
        <f t="shared" si="300"/>
        <v>0</v>
      </c>
      <c r="AC86" s="154">
        <f t="shared" si="300"/>
        <v>0</v>
      </c>
      <c r="AD86" s="154">
        <f t="shared" si="300"/>
        <v>0</v>
      </c>
      <c r="AE86" s="154">
        <f t="shared" si="300"/>
        <v>0</v>
      </c>
      <c r="AF86" s="154">
        <f t="shared" si="300"/>
        <v>0</v>
      </c>
      <c r="AG86" s="154">
        <f t="shared" si="300"/>
        <v>0</v>
      </c>
      <c r="AH86" s="155">
        <f t="shared" si="300"/>
        <v>0</v>
      </c>
      <c r="AI86" s="155">
        <f t="shared" si="300"/>
        <v>0</v>
      </c>
      <c r="AJ86" s="154">
        <f t="shared" si="300"/>
        <v>0</v>
      </c>
      <c r="AK86" s="155">
        <f t="shared" si="300"/>
        <v>0</v>
      </c>
      <c r="AL86" s="156">
        <f t="shared" si="300"/>
        <v>0</v>
      </c>
    </row>
    <row r="87" spans="2:38" s="130" customFormat="1" ht="15.75" x14ac:dyDescent="0.25">
      <c r="B87" s="157" t="s">
        <v>59</v>
      </c>
      <c r="C87" s="83"/>
      <c r="D87" s="83"/>
      <c r="E87" s="154">
        <f t="shared" si="196"/>
        <v>0</v>
      </c>
      <c r="F87" s="83">
        <f t="shared" si="172"/>
        <v>0</v>
      </c>
      <c r="G87" s="83"/>
      <c r="H87" s="154">
        <f t="shared" si="197"/>
        <v>0</v>
      </c>
      <c r="I87" s="83">
        <f t="shared" ref="I87:I91" si="301">$C87</f>
        <v>0</v>
      </c>
      <c r="J87" s="83"/>
      <c r="K87" s="154">
        <f t="shared" si="199"/>
        <v>0</v>
      </c>
      <c r="L87" s="83">
        <f t="shared" ref="L87:L91" si="302">$C87</f>
        <v>0</v>
      </c>
      <c r="M87" s="83"/>
      <c r="N87" s="154">
        <f t="shared" si="201"/>
        <v>0</v>
      </c>
      <c r="O87" s="83">
        <f t="shared" ref="O87:O91" si="303">$C87</f>
        <v>0</v>
      </c>
      <c r="P87" s="83"/>
      <c r="Q87" s="154">
        <f t="shared" si="203"/>
        <v>0</v>
      </c>
      <c r="R87" s="83">
        <f t="shared" ref="R87:R91" si="304">$C87</f>
        <v>0</v>
      </c>
      <c r="S87" s="83"/>
      <c r="T87" s="154">
        <f t="shared" si="205"/>
        <v>0</v>
      </c>
      <c r="U87" s="83">
        <f t="shared" ref="U87:U91" si="305">$C87</f>
        <v>0</v>
      </c>
      <c r="V87" s="83"/>
      <c r="W87" s="154">
        <f t="shared" si="207"/>
        <v>0</v>
      </c>
      <c r="X87" s="83">
        <f t="shared" ref="X87:X91" si="306">$C87</f>
        <v>0</v>
      </c>
      <c r="Y87" s="83"/>
      <c r="Z87" s="154">
        <f t="shared" si="209"/>
        <v>0</v>
      </c>
      <c r="AA87" s="83">
        <f t="shared" ref="AA87:AA91" si="307">$C87</f>
        <v>0</v>
      </c>
      <c r="AB87" s="83"/>
      <c r="AC87" s="154">
        <f t="shared" si="211"/>
        <v>0</v>
      </c>
      <c r="AD87" s="83">
        <f t="shared" ref="AD87:AD91" si="308">$C87</f>
        <v>0</v>
      </c>
      <c r="AE87" s="83"/>
      <c r="AF87" s="154">
        <f t="shared" si="213"/>
        <v>0</v>
      </c>
      <c r="AG87" s="83">
        <f t="shared" ref="AG87:AG91" si="309">$C87</f>
        <v>0</v>
      </c>
      <c r="AH87" s="84"/>
      <c r="AI87" s="155">
        <f t="shared" si="215"/>
        <v>0</v>
      </c>
      <c r="AJ87" s="83">
        <f t="shared" ref="AJ87:AJ91" si="310">$C87</f>
        <v>0</v>
      </c>
      <c r="AK87" s="84"/>
      <c r="AL87" s="156">
        <f t="shared" si="217"/>
        <v>0</v>
      </c>
    </row>
    <row r="88" spans="2:38" s="130" customFormat="1" ht="15.75" x14ac:dyDescent="0.25">
      <c r="B88" s="157" t="s">
        <v>60</v>
      </c>
      <c r="C88" s="83"/>
      <c r="D88" s="83"/>
      <c r="E88" s="154">
        <f t="shared" ref="E88:E90" si="311">C88-D88</f>
        <v>0</v>
      </c>
      <c r="F88" s="83">
        <f t="shared" si="172"/>
        <v>0</v>
      </c>
      <c r="G88" s="83"/>
      <c r="H88" s="154">
        <f t="shared" ref="H88:H90" si="312">F88-G88</f>
        <v>0</v>
      </c>
      <c r="I88" s="83">
        <f t="shared" si="301"/>
        <v>0</v>
      </c>
      <c r="J88" s="83"/>
      <c r="K88" s="154">
        <f t="shared" ref="K88:K90" si="313">I88-J88</f>
        <v>0</v>
      </c>
      <c r="L88" s="83">
        <f t="shared" si="302"/>
        <v>0</v>
      </c>
      <c r="M88" s="83"/>
      <c r="N88" s="154">
        <f t="shared" ref="N88:N90" si="314">L88-M88</f>
        <v>0</v>
      </c>
      <c r="O88" s="83">
        <f t="shared" si="303"/>
        <v>0</v>
      </c>
      <c r="P88" s="83"/>
      <c r="Q88" s="154">
        <f t="shared" ref="Q88:Q90" si="315">O88-P88</f>
        <v>0</v>
      </c>
      <c r="R88" s="83">
        <f t="shared" si="304"/>
        <v>0</v>
      </c>
      <c r="S88" s="83"/>
      <c r="T88" s="154">
        <f t="shared" ref="T88:T90" si="316">R88-S88</f>
        <v>0</v>
      </c>
      <c r="U88" s="83">
        <f t="shared" si="305"/>
        <v>0</v>
      </c>
      <c r="V88" s="83"/>
      <c r="W88" s="154">
        <f t="shared" ref="W88:W90" si="317">U88-V88</f>
        <v>0</v>
      </c>
      <c r="X88" s="83">
        <f t="shared" si="306"/>
        <v>0</v>
      </c>
      <c r="Y88" s="83"/>
      <c r="Z88" s="154">
        <f t="shared" ref="Z88:Z90" si="318">X88-Y88</f>
        <v>0</v>
      </c>
      <c r="AA88" s="83">
        <f t="shared" si="307"/>
        <v>0</v>
      </c>
      <c r="AB88" s="83"/>
      <c r="AC88" s="154">
        <f t="shared" ref="AC88:AC90" si="319">AA88-AB88</f>
        <v>0</v>
      </c>
      <c r="AD88" s="83">
        <f t="shared" si="308"/>
        <v>0</v>
      </c>
      <c r="AE88" s="83"/>
      <c r="AF88" s="154">
        <f t="shared" ref="AF88:AF90" si="320">AD88-AE88</f>
        <v>0</v>
      </c>
      <c r="AG88" s="83">
        <f t="shared" si="309"/>
        <v>0</v>
      </c>
      <c r="AH88" s="84"/>
      <c r="AI88" s="155">
        <f t="shared" ref="AI88:AI90" si="321">AG88-AH88</f>
        <v>0</v>
      </c>
      <c r="AJ88" s="83">
        <f t="shared" si="310"/>
        <v>0</v>
      </c>
      <c r="AK88" s="84"/>
      <c r="AL88" s="156">
        <f t="shared" ref="AL88:AL90" si="322">AJ88-AK88</f>
        <v>0</v>
      </c>
    </row>
    <row r="89" spans="2:38" s="130" customFormat="1" ht="15.75" hidden="1" outlineLevel="1" x14ac:dyDescent="0.25">
      <c r="B89" s="85"/>
      <c r="C89" s="83"/>
      <c r="D89" s="83"/>
      <c r="E89" s="154">
        <f t="shared" si="311"/>
        <v>0</v>
      </c>
      <c r="F89" s="83">
        <f t="shared" si="172"/>
        <v>0</v>
      </c>
      <c r="G89" s="83"/>
      <c r="H89" s="154">
        <f t="shared" si="312"/>
        <v>0</v>
      </c>
      <c r="I89" s="83">
        <f t="shared" si="301"/>
        <v>0</v>
      </c>
      <c r="J89" s="83"/>
      <c r="K89" s="154">
        <f t="shared" si="313"/>
        <v>0</v>
      </c>
      <c r="L89" s="83">
        <f t="shared" si="302"/>
        <v>0</v>
      </c>
      <c r="M89" s="83"/>
      <c r="N89" s="154">
        <f t="shared" si="314"/>
        <v>0</v>
      </c>
      <c r="O89" s="83">
        <f t="shared" si="303"/>
        <v>0</v>
      </c>
      <c r="P89" s="83"/>
      <c r="Q89" s="154">
        <f t="shared" si="315"/>
        <v>0</v>
      </c>
      <c r="R89" s="83">
        <f t="shared" si="304"/>
        <v>0</v>
      </c>
      <c r="S89" s="83"/>
      <c r="T89" s="154">
        <f t="shared" si="316"/>
        <v>0</v>
      </c>
      <c r="U89" s="83">
        <f t="shared" si="305"/>
        <v>0</v>
      </c>
      <c r="V89" s="83"/>
      <c r="W89" s="154">
        <f t="shared" si="317"/>
        <v>0</v>
      </c>
      <c r="X89" s="83">
        <f t="shared" si="306"/>
        <v>0</v>
      </c>
      <c r="Y89" s="83"/>
      <c r="Z89" s="154">
        <f t="shared" si="318"/>
        <v>0</v>
      </c>
      <c r="AA89" s="83">
        <f t="shared" si="307"/>
        <v>0</v>
      </c>
      <c r="AB89" s="83"/>
      <c r="AC89" s="154">
        <f t="shared" si="319"/>
        <v>0</v>
      </c>
      <c r="AD89" s="83">
        <f t="shared" si="308"/>
        <v>0</v>
      </c>
      <c r="AE89" s="83"/>
      <c r="AF89" s="154">
        <f t="shared" si="320"/>
        <v>0</v>
      </c>
      <c r="AG89" s="83">
        <f t="shared" si="309"/>
        <v>0</v>
      </c>
      <c r="AH89" s="84"/>
      <c r="AI89" s="155">
        <f t="shared" si="321"/>
        <v>0</v>
      </c>
      <c r="AJ89" s="83">
        <f t="shared" si="310"/>
        <v>0</v>
      </c>
      <c r="AK89" s="84"/>
      <c r="AL89" s="156">
        <f t="shared" si="322"/>
        <v>0</v>
      </c>
    </row>
    <row r="90" spans="2:38" s="130" customFormat="1" ht="15.75" hidden="1" outlineLevel="1" x14ac:dyDescent="0.25">
      <c r="B90" s="85"/>
      <c r="C90" s="83"/>
      <c r="D90" s="83"/>
      <c r="E90" s="154">
        <f t="shared" si="311"/>
        <v>0</v>
      </c>
      <c r="F90" s="83">
        <f t="shared" si="172"/>
        <v>0</v>
      </c>
      <c r="G90" s="83"/>
      <c r="H90" s="154">
        <f t="shared" si="312"/>
        <v>0</v>
      </c>
      <c r="I90" s="83">
        <f t="shared" si="301"/>
        <v>0</v>
      </c>
      <c r="J90" s="83"/>
      <c r="K90" s="154">
        <f t="shared" si="313"/>
        <v>0</v>
      </c>
      <c r="L90" s="83">
        <f t="shared" si="302"/>
        <v>0</v>
      </c>
      <c r="M90" s="83"/>
      <c r="N90" s="154">
        <f t="shared" si="314"/>
        <v>0</v>
      </c>
      <c r="O90" s="83">
        <f t="shared" si="303"/>
        <v>0</v>
      </c>
      <c r="P90" s="83"/>
      <c r="Q90" s="154">
        <f t="shared" si="315"/>
        <v>0</v>
      </c>
      <c r="R90" s="83">
        <f t="shared" si="304"/>
        <v>0</v>
      </c>
      <c r="S90" s="83"/>
      <c r="T90" s="154">
        <f t="shared" si="316"/>
        <v>0</v>
      </c>
      <c r="U90" s="83">
        <f t="shared" si="305"/>
        <v>0</v>
      </c>
      <c r="V90" s="83"/>
      <c r="W90" s="154">
        <f t="shared" si="317"/>
        <v>0</v>
      </c>
      <c r="X90" s="83">
        <f t="shared" si="306"/>
        <v>0</v>
      </c>
      <c r="Y90" s="83"/>
      <c r="Z90" s="154">
        <f t="shared" si="318"/>
        <v>0</v>
      </c>
      <c r="AA90" s="83">
        <f t="shared" si="307"/>
        <v>0</v>
      </c>
      <c r="AB90" s="83"/>
      <c r="AC90" s="154">
        <f t="shared" si="319"/>
        <v>0</v>
      </c>
      <c r="AD90" s="83">
        <f t="shared" si="308"/>
        <v>0</v>
      </c>
      <c r="AE90" s="83"/>
      <c r="AF90" s="154">
        <f t="shared" si="320"/>
        <v>0</v>
      </c>
      <c r="AG90" s="83">
        <f t="shared" si="309"/>
        <v>0</v>
      </c>
      <c r="AH90" s="84"/>
      <c r="AI90" s="155">
        <f t="shared" si="321"/>
        <v>0</v>
      </c>
      <c r="AJ90" s="83">
        <f t="shared" si="310"/>
        <v>0</v>
      </c>
      <c r="AK90" s="84"/>
      <c r="AL90" s="156">
        <f t="shared" si="322"/>
        <v>0</v>
      </c>
    </row>
    <row r="91" spans="2:38" s="130" customFormat="1" ht="15.75" hidden="1" outlineLevel="1" x14ac:dyDescent="0.25">
      <c r="B91" s="85"/>
      <c r="C91" s="83"/>
      <c r="D91" s="83"/>
      <c r="E91" s="154">
        <f t="shared" si="196"/>
        <v>0</v>
      </c>
      <c r="F91" s="83">
        <f t="shared" si="172"/>
        <v>0</v>
      </c>
      <c r="G91" s="83"/>
      <c r="H91" s="154">
        <f t="shared" si="197"/>
        <v>0</v>
      </c>
      <c r="I91" s="83">
        <f t="shared" si="301"/>
        <v>0</v>
      </c>
      <c r="J91" s="83"/>
      <c r="K91" s="154">
        <f t="shared" si="199"/>
        <v>0</v>
      </c>
      <c r="L91" s="83">
        <f t="shared" si="302"/>
        <v>0</v>
      </c>
      <c r="M91" s="83"/>
      <c r="N91" s="154">
        <f t="shared" si="201"/>
        <v>0</v>
      </c>
      <c r="O91" s="83">
        <f t="shared" si="303"/>
        <v>0</v>
      </c>
      <c r="P91" s="83"/>
      <c r="Q91" s="154">
        <f t="shared" si="203"/>
        <v>0</v>
      </c>
      <c r="R91" s="83">
        <f t="shared" si="304"/>
        <v>0</v>
      </c>
      <c r="S91" s="83"/>
      <c r="T91" s="154">
        <f t="shared" si="205"/>
        <v>0</v>
      </c>
      <c r="U91" s="83">
        <f t="shared" si="305"/>
        <v>0</v>
      </c>
      <c r="V91" s="83"/>
      <c r="W91" s="154">
        <f t="shared" si="207"/>
        <v>0</v>
      </c>
      <c r="X91" s="83">
        <f t="shared" si="306"/>
        <v>0</v>
      </c>
      <c r="Y91" s="83"/>
      <c r="Z91" s="154">
        <f t="shared" si="209"/>
        <v>0</v>
      </c>
      <c r="AA91" s="83">
        <f t="shared" si="307"/>
        <v>0</v>
      </c>
      <c r="AB91" s="83"/>
      <c r="AC91" s="154">
        <f t="shared" si="211"/>
        <v>0</v>
      </c>
      <c r="AD91" s="83">
        <f t="shared" si="308"/>
        <v>0</v>
      </c>
      <c r="AE91" s="83"/>
      <c r="AF91" s="154">
        <f t="shared" si="213"/>
        <v>0</v>
      </c>
      <c r="AG91" s="83">
        <f t="shared" si="309"/>
        <v>0</v>
      </c>
      <c r="AH91" s="84"/>
      <c r="AI91" s="155">
        <f t="shared" si="215"/>
        <v>0</v>
      </c>
      <c r="AJ91" s="83">
        <f t="shared" si="310"/>
        <v>0</v>
      </c>
      <c r="AK91" s="84"/>
      <c r="AL91" s="156">
        <f t="shared" si="217"/>
        <v>0</v>
      </c>
    </row>
    <row r="92" spans="2:38" s="130" customFormat="1" ht="15.75" collapsed="1" x14ac:dyDescent="0.25">
      <c r="B92" s="158" t="s">
        <v>27</v>
      </c>
      <c r="C92" s="154">
        <f>SUM(C93:C93)</f>
        <v>0</v>
      </c>
      <c r="D92" s="154">
        <f t="shared" ref="D92:E92" si="323">SUM(D93:D93)</f>
        <v>0</v>
      </c>
      <c r="E92" s="154">
        <f t="shared" si="323"/>
        <v>0</v>
      </c>
      <c r="F92" s="137">
        <f t="shared" ref="F92" si="324">SUM(F93:F93)</f>
        <v>0</v>
      </c>
      <c r="G92" s="137">
        <f t="shared" ref="G92" si="325">SUM(G93:G93)</f>
        <v>0</v>
      </c>
      <c r="H92" s="137">
        <f t="shared" ref="H92" si="326">SUM(H93:H93)</f>
        <v>0</v>
      </c>
      <c r="I92" s="137">
        <f t="shared" ref="I92" si="327">SUM(I93:I93)</f>
        <v>0</v>
      </c>
      <c r="J92" s="137">
        <f t="shared" ref="J92" si="328">SUM(J93:J93)</f>
        <v>0</v>
      </c>
      <c r="K92" s="137">
        <f t="shared" ref="K92" si="329">SUM(K93:K93)</f>
        <v>0</v>
      </c>
      <c r="L92" s="137">
        <f t="shared" ref="L92" si="330">SUM(L93:L93)</f>
        <v>0</v>
      </c>
      <c r="M92" s="137">
        <f t="shared" ref="M92" si="331">SUM(M93:M93)</f>
        <v>0</v>
      </c>
      <c r="N92" s="137">
        <f t="shared" ref="N92" si="332">SUM(N93:N93)</f>
        <v>0</v>
      </c>
      <c r="O92" s="137">
        <f t="shared" ref="O92" si="333">SUM(O93:O93)</f>
        <v>0</v>
      </c>
      <c r="P92" s="137">
        <f t="shared" ref="P92" si="334">SUM(P93:P93)</f>
        <v>0</v>
      </c>
      <c r="Q92" s="137">
        <f t="shared" ref="Q92" si="335">SUM(Q93:Q93)</f>
        <v>0</v>
      </c>
      <c r="R92" s="137">
        <f t="shared" ref="R92" si="336">SUM(R93:R93)</f>
        <v>0</v>
      </c>
      <c r="S92" s="137">
        <f t="shared" ref="S92" si="337">SUM(S93:S93)</f>
        <v>0</v>
      </c>
      <c r="T92" s="137">
        <f t="shared" ref="T92" si="338">SUM(T93:T93)</f>
        <v>0</v>
      </c>
      <c r="U92" s="137">
        <f t="shared" ref="U92" si="339">SUM(U93:U93)</f>
        <v>0</v>
      </c>
      <c r="V92" s="137">
        <f t="shared" ref="V92" si="340">SUM(V93:V93)</f>
        <v>0</v>
      </c>
      <c r="W92" s="137">
        <f t="shared" ref="W92" si="341">SUM(W93:W93)</f>
        <v>0</v>
      </c>
      <c r="X92" s="137">
        <f t="shared" ref="X92" si="342">SUM(X93:X93)</f>
        <v>0</v>
      </c>
      <c r="Y92" s="137">
        <f t="shared" ref="Y92" si="343">SUM(Y93:Y93)</f>
        <v>0</v>
      </c>
      <c r="Z92" s="137">
        <f t="shared" ref="Z92" si="344">SUM(Z93:Z93)</f>
        <v>0</v>
      </c>
      <c r="AA92" s="137">
        <f t="shared" ref="AA92" si="345">SUM(AA93:AA93)</f>
        <v>0</v>
      </c>
      <c r="AB92" s="137">
        <f t="shared" ref="AB92" si="346">SUM(AB93:AB93)</f>
        <v>0</v>
      </c>
      <c r="AC92" s="137">
        <f t="shared" ref="AC92" si="347">SUM(AC93:AC93)</f>
        <v>0</v>
      </c>
      <c r="AD92" s="137">
        <f t="shared" ref="AD92" si="348">SUM(AD93:AD93)</f>
        <v>0</v>
      </c>
      <c r="AE92" s="137">
        <f t="shared" ref="AE92" si="349">SUM(AE93:AE93)</f>
        <v>0</v>
      </c>
      <c r="AF92" s="137">
        <f t="shared" ref="AF92" si="350">SUM(AF93:AF93)</f>
        <v>0</v>
      </c>
      <c r="AG92" s="137">
        <f t="shared" ref="AG92" si="351">SUM(AG93:AG93)</f>
        <v>0</v>
      </c>
      <c r="AH92" s="148">
        <f t="shared" ref="AH92" si="352">SUM(AH93:AH93)</f>
        <v>0</v>
      </c>
      <c r="AI92" s="148">
        <f t="shared" ref="AI92" si="353">SUM(AI93:AI93)</f>
        <v>0</v>
      </c>
      <c r="AJ92" s="137">
        <f t="shared" ref="AJ92" si="354">SUM(AJ93:AJ93)</f>
        <v>0</v>
      </c>
      <c r="AK92" s="148">
        <f t="shared" ref="AK92" si="355">SUM(AK93:AK93)</f>
        <v>0</v>
      </c>
      <c r="AL92" s="138">
        <f t="shared" ref="AL92" si="356">SUM(AL93:AL93)</f>
        <v>0</v>
      </c>
    </row>
    <row r="93" spans="2:38" s="130" customFormat="1" ht="15.75" x14ac:dyDescent="0.25">
      <c r="B93" s="152" t="s">
        <v>28</v>
      </c>
      <c r="C93" s="83"/>
      <c r="D93" s="83"/>
      <c r="E93" s="137">
        <f t="shared" si="196"/>
        <v>0</v>
      </c>
      <c r="F93" s="83">
        <f t="shared" si="172"/>
        <v>0</v>
      </c>
      <c r="G93" s="83"/>
      <c r="H93" s="137">
        <f t="shared" si="197"/>
        <v>0</v>
      </c>
      <c r="I93" s="83">
        <f t="shared" ref="I93" si="357">$C93</f>
        <v>0</v>
      </c>
      <c r="J93" s="83"/>
      <c r="K93" s="137">
        <f t="shared" si="199"/>
        <v>0</v>
      </c>
      <c r="L93" s="83">
        <f t="shared" ref="L93" si="358">$C93</f>
        <v>0</v>
      </c>
      <c r="M93" s="83"/>
      <c r="N93" s="137">
        <f t="shared" si="201"/>
        <v>0</v>
      </c>
      <c r="O93" s="83">
        <f t="shared" ref="O93" si="359">$C93</f>
        <v>0</v>
      </c>
      <c r="P93" s="83"/>
      <c r="Q93" s="137">
        <f t="shared" si="203"/>
        <v>0</v>
      </c>
      <c r="R93" s="83">
        <f t="shared" ref="R93" si="360">$C93</f>
        <v>0</v>
      </c>
      <c r="S93" s="83"/>
      <c r="T93" s="137">
        <f t="shared" si="205"/>
        <v>0</v>
      </c>
      <c r="U93" s="83">
        <f t="shared" ref="U93" si="361">$C93</f>
        <v>0</v>
      </c>
      <c r="V93" s="83"/>
      <c r="W93" s="137">
        <f t="shared" si="207"/>
        <v>0</v>
      </c>
      <c r="X93" s="83">
        <f t="shared" ref="X93" si="362">$C93</f>
        <v>0</v>
      </c>
      <c r="Y93" s="83"/>
      <c r="Z93" s="137">
        <f t="shared" si="209"/>
        <v>0</v>
      </c>
      <c r="AA93" s="83">
        <f t="shared" ref="AA93" si="363">$C93</f>
        <v>0</v>
      </c>
      <c r="AB93" s="83"/>
      <c r="AC93" s="137">
        <f t="shared" si="211"/>
        <v>0</v>
      </c>
      <c r="AD93" s="83">
        <f t="shared" ref="AD93" si="364">$C93</f>
        <v>0</v>
      </c>
      <c r="AE93" s="83"/>
      <c r="AF93" s="137">
        <f t="shared" si="213"/>
        <v>0</v>
      </c>
      <c r="AG93" s="83">
        <f t="shared" ref="AG93" si="365">$C93</f>
        <v>0</v>
      </c>
      <c r="AH93" s="84"/>
      <c r="AI93" s="148">
        <f t="shared" si="215"/>
        <v>0</v>
      </c>
      <c r="AJ93" s="83">
        <f t="shared" ref="AJ93" si="366">$C93</f>
        <v>0</v>
      </c>
      <c r="AK93" s="84"/>
      <c r="AL93" s="138">
        <f t="shared" si="217"/>
        <v>0</v>
      </c>
    </row>
    <row r="94" spans="2:38" s="130" customFormat="1" ht="15.75" x14ac:dyDescent="0.25">
      <c r="B94" s="142" t="s">
        <v>43</v>
      </c>
      <c r="C94" s="143">
        <f t="shared" ref="C94:AL94" si="367">C28+C39+C50+C61+C70+C79+C86+C92</f>
        <v>0</v>
      </c>
      <c r="D94" s="143">
        <f t="shared" si="367"/>
        <v>0</v>
      </c>
      <c r="E94" s="143">
        <f t="shared" si="367"/>
        <v>0</v>
      </c>
      <c r="F94" s="143">
        <f t="shared" si="367"/>
        <v>0</v>
      </c>
      <c r="G94" s="143">
        <f t="shared" si="367"/>
        <v>0</v>
      </c>
      <c r="H94" s="143">
        <f t="shared" si="367"/>
        <v>0</v>
      </c>
      <c r="I94" s="143">
        <f t="shared" si="367"/>
        <v>0</v>
      </c>
      <c r="J94" s="143">
        <f t="shared" si="367"/>
        <v>0</v>
      </c>
      <c r="K94" s="143">
        <f t="shared" si="367"/>
        <v>0</v>
      </c>
      <c r="L94" s="143">
        <f t="shared" si="367"/>
        <v>0</v>
      </c>
      <c r="M94" s="143">
        <f t="shared" si="367"/>
        <v>0</v>
      </c>
      <c r="N94" s="143">
        <f t="shared" si="367"/>
        <v>0</v>
      </c>
      <c r="O94" s="143">
        <f t="shared" si="367"/>
        <v>0</v>
      </c>
      <c r="P94" s="143">
        <f t="shared" si="367"/>
        <v>0</v>
      </c>
      <c r="Q94" s="143">
        <f t="shared" si="367"/>
        <v>0</v>
      </c>
      <c r="R94" s="143">
        <f t="shared" si="367"/>
        <v>0</v>
      </c>
      <c r="S94" s="143">
        <f t="shared" si="367"/>
        <v>0</v>
      </c>
      <c r="T94" s="143">
        <f t="shared" si="367"/>
        <v>0</v>
      </c>
      <c r="U94" s="143">
        <f t="shared" si="367"/>
        <v>0</v>
      </c>
      <c r="V94" s="143">
        <f t="shared" si="367"/>
        <v>0</v>
      </c>
      <c r="W94" s="143">
        <f t="shared" si="367"/>
        <v>0</v>
      </c>
      <c r="X94" s="143">
        <f t="shared" si="367"/>
        <v>0</v>
      </c>
      <c r="Y94" s="143">
        <f t="shared" si="367"/>
        <v>0</v>
      </c>
      <c r="Z94" s="143">
        <f t="shared" si="367"/>
        <v>0</v>
      </c>
      <c r="AA94" s="143">
        <f t="shared" si="367"/>
        <v>0</v>
      </c>
      <c r="AB94" s="143">
        <f t="shared" si="367"/>
        <v>0</v>
      </c>
      <c r="AC94" s="143">
        <f t="shared" si="367"/>
        <v>0</v>
      </c>
      <c r="AD94" s="143">
        <f t="shared" si="367"/>
        <v>0</v>
      </c>
      <c r="AE94" s="143">
        <f t="shared" si="367"/>
        <v>0</v>
      </c>
      <c r="AF94" s="143">
        <f t="shared" si="367"/>
        <v>0</v>
      </c>
      <c r="AG94" s="143">
        <f t="shared" si="367"/>
        <v>0</v>
      </c>
      <c r="AH94" s="149">
        <f t="shared" si="367"/>
        <v>0</v>
      </c>
      <c r="AI94" s="149">
        <f t="shared" si="367"/>
        <v>0</v>
      </c>
      <c r="AJ94" s="143">
        <f t="shared" si="367"/>
        <v>0</v>
      </c>
      <c r="AK94" s="149">
        <f t="shared" si="367"/>
        <v>0</v>
      </c>
      <c r="AL94" s="144">
        <f t="shared" si="367"/>
        <v>0</v>
      </c>
    </row>
    <row r="95" spans="2:38" s="147" customFormat="1" ht="7.5" customHeight="1" x14ac:dyDescent="0.25">
      <c r="B95" s="159"/>
      <c r="C95" s="160"/>
      <c r="D95" s="160"/>
      <c r="E95" s="160"/>
      <c r="F95" s="160"/>
      <c r="G95" s="160"/>
      <c r="H95" s="160"/>
      <c r="I95" s="160"/>
      <c r="J95" s="160"/>
      <c r="K95" s="160"/>
      <c r="L95" s="160"/>
      <c r="M95" s="160"/>
      <c r="N95" s="160"/>
      <c r="O95" s="160"/>
      <c r="P95" s="160"/>
      <c r="Q95" s="160"/>
      <c r="R95" s="160"/>
      <c r="S95" s="160"/>
      <c r="T95" s="160"/>
      <c r="U95" s="160"/>
      <c r="V95" s="160"/>
      <c r="W95" s="160"/>
      <c r="X95" s="160"/>
      <c r="Y95" s="160"/>
      <c r="Z95" s="160"/>
      <c r="AA95" s="160"/>
      <c r="AB95" s="160"/>
      <c r="AC95" s="160"/>
      <c r="AD95" s="160"/>
      <c r="AE95" s="160"/>
      <c r="AF95" s="160"/>
      <c r="AG95" s="160"/>
      <c r="AH95" s="160"/>
      <c r="AI95" s="160"/>
      <c r="AJ95" s="160"/>
      <c r="AK95" s="160"/>
      <c r="AL95" s="160"/>
    </row>
    <row r="96" spans="2:38" s="130" customFormat="1" ht="15.75" x14ac:dyDescent="0.25">
      <c r="B96" s="219" t="s">
        <v>46</v>
      </c>
      <c r="C96" s="220">
        <f t="shared" ref="C96:AL96" si="368">C21-C25-C94</f>
        <v>0</v>
      </c>
      <c r="D96" s="220">
        <f t="shared" si="368"/>
        <v>0</v>
      </c>
      <c r="E96" s="220">
        <f t="shared" si="368"/>
        <v>0</v>
      </c>
      <c r="F96" s="220">
        <f t="shared" si="368"/>
        <v>0</v>
      </c>
      <c r="G96" s="220">
        <f t="shared" si="368"/>
        <v>0</v>
      </c>
      <c r="H96" s="220">
        <f t="shared" si="368"/>
        <v>0</v>
      </c>
      <c r="I96" s="220">
        <f t="shared" si="368"/>
        <v>0</v>
      </c>
      <c r="J96" s="220">
        <f t="shared" si="368"/>
        <v>0</v>
      </c>
      <c r="K96" s="220">
        <f t="shared" si="368"/>
        <v>0</v>
      </c>
      <c r="L96" s="220">
        <f t="shared" si="368"/>
        <v>0</v>
      </c>
      <c r="M96" s="220">
        <f t="shared" si="368"/>
        <v>0</v>
      </c>
      <c r="N96" s="220">
        <f t="shared" si="368"/>
        <v>0</v>
      </c>
      <c r="O96" s="220">
        <f t="shared" si="368"/>
        <v>0</v>
      </c>
      <c r="P96" s="220">
        <f t="shared" si="368"/>
        <v>0</v>
      </c>
      <c r="Q96" s="220">
        <f t="shared" si="368"/>
        <v>0</v>
      </c>
      <c r="R96" s="220">
        <f t="shared" si="368"/>
        <v>0</v>
      </c>
      <c r="S96" s="220">
        <f t="shared" si="368"/>
        <v>0</v>
      </c>
      <c r="T96" s="220">
        <f t="shared" si="368"/>
        <v>0</v>
      </c>
      <c r="U96" s="220">
        <f t="shared" si="368"/>
        <v>0</v>
      </c>
      <c r="V96" s="220">
        <f t="shared" si="368"/>
        <v>0</v>
      </c>
      <c r="W96" s="220">
        <f t="shared" si="368"/>
        <v>0</v>
      </c>
      <c r="X96" s="220">
        <f t="shared" si="368"/>
        <v>0</v>
      </c>
      <c r="Y96" s="220">
        <f t="shared" si="368"/>
        <v>0</v>
      </c>
      <c r="Z96" s="220">
        <f t="shared" si="368"/>
        <v>0</v>
      </c>
      <c r="AA96" s="220">
        <f t="shared" si="368"/>
        <v>0</v>
      </c>
      <c r="AB96" s="220">
        <f t="shared" si="368"/>
        <v>0</v>
      </c>
      <c r="AC96" s="220">
        <f t="shared" si="368"/>
        <v>0</v>
      </c>
      <c r="AD96" s="220">
        <f t="shared" si="368"/>
        <v>0</v>
      </c>
      <c r="AE96" s="220">
        <f t="shared" si="368"/>
        <v>0</v>
      </c>
      <c r="AF96" s="220">
        <f t="shared" si="368"/>
        <v>0</v>
      </c>
      <c r="AG96" s="220">
        <f t="shared" si="368"/>
        <v>0</v>
      </c>
      <c r="AH96" s="221">
        <f t="shared" si="368"/>
        <v>0</v>
      </c>
      <c r="AI96" s="221">
        <f t="shared" si="368"/>
        <v>0</v>
      </c>
      <c r="AJ96" s="220">
        <f t="shared" si="368"/>
        <v>0</v>
      </c>
      <c r="AK96" s="221">
        <f t="shared" si="368"/>
        <v>0</v>
      </c>
      <c r="AL96" s="222">
        <f t="shared" si="368"/>
        <v>0</v>
      </c>
    </row>
    <row r="97" spans="2:38" ht="7.5" customHeight="1" x14ac:dyDescent="0.25"/>
    <row r="98" spans="2:38" s="130" customFormat="1" ht="15.75" x14ac:dyDescent="0.25">
      <c r="B98" s="219" t="s">
        <v>57</v>
      </c>
      <c r="C98" s="220">
        <f>C96</f>
        <v>0</v>
      </c>
      <c r="D98" s="220">
        <f>D96</f>
        <v>0</v>
      </c>
      <c r="E98" s="220">
        <f>E96</f>
        <v>0</v>
      </c>
      <c r="F98" s="220">
        <f>C98+F96</f>
        <v>0</v>
      </c>
      <c r="G98" s="220">
        <f>D98+G96</f>
        <v>0</v>
      </c>
      <c r="H98" s="220">
        <f>E98+H96</f>
        <v>0</v>
      </c>
      <c r="I98" s="220">
        <f t="shared" ref="I98:AL98" si="369">F98+I96</f>
        <v>0</v>
      </c>
      <c r="J98" s="220">
        <f t="shared" si="369"/>
        <v>0</v>
      </c>
      <c r="K98" s="220">
        <f t="shared" si="369"/>
        <v>0</v>
      </c>
      <c r="L98" s="220">
        <f t="shared" si="369"/>
        <v>0</v>
      </c>
      <c r="M98" s="220">
        <f t="shared" si="369"/>
        <v>0</v>
      </c>
      <c r="N98" s="220">
        <f t="shared" si="369"/>
        <v>0</v>
      </c>
      <c r="O98" s="220">
        <f t="shared" si="369"/>
        <v>0</v>
      </c>
      <c r="P98" s="220">
        <f t="shared" si="369"/>
        <v>0</v>
      </c>
      <c r="Q98" s="220">
        <f t="shared" si="369"/>
        <v>0</v>
      </c>
      <c r="R98" s="220">
        <f t="shared" si="369"/>
        <v>0</v>
      </c>
      <c r="S98" s="220">
        <f t="shared" si="369"/>
        <v>0</v>
      </c>
      <c r="T98" s="220">
        <f t="shared" si="369"/>
        <v>0</v>
      </c>
      <c r="U98" s="220">
        <f t="shared" si="369"/>
        <v>0</v>
      </c>
      <c r="V98" s="220">
        <f t="shared" si="369"/>
        <v>0</v>
      </c>
      <c r="W98" s="220">
        <f t="shared" si="369"/>
        <v>0</v>
      </c>
      <c r="X98" s="220">
        <f t="shared" si="369"/>
        <v>0</v>
      </c>
      <c r="Y98" s="220">
        <f t="shared" si="369"/>
        <v>0</v>
      </c>
      <c r="Z98" s="220">
        <f t="shared" si="369"/>
        <v>0</v>
      </c>
      <c r="AA98" s="220">
        <f t="shared" si="369"/>
        <v>0</v>
      </c>
      <c r="AB98" s="220">
        <f t="shared" si="369"/>
        <v>0</v>
      </c>
      <c r="AC98" s="220">
        <f t="shared" si="369"/>
        <v>0</v>
      </c>
      <c r="AD98" s="220">
        <f t="shared" si="369"/>
        <v>0</v>
      </c>
      <c r="AE98" s="220">
        <f t="shared" si="369"/>
        <v>0</v>
      </c>
      <c r="AF98" s="220">
        <f t="shared" si="369"/>
        <v>0</v>
      </c>
      <c r="AG98" s="220">
        <f t="shared" si="369"/>
        <v>0</v>
      </c>
      <c r="AH98" s="221">
        <f t="shared" si="369"/>
        <v>0</v>
      </c>
      <c r="AI98" s="221">
        <f t="shared" si="369"/>
        <v>0</v>
      </c>
      <c r="AJ98" s="220">
        <f t="shared" si="369"/>
        <v>0</v>
      </c>
      <c r="AK98" s="221">
        <f t="shared" si="369"/>
        <v>0</v>
      </c>
      <c r="AL98" s="222">
        <f t="shared" si="369"/>
        <v>0</v>
      </c>
    </row>
    <row r="99" spans="2:38" x14ac:dyDescent="0.25">
      <c r="C99" s="161"/>
    </row>
  </sheetData>
  <sheetProtection formatColumns="0" formatRows="0" insertColumns="0" insertRows="0"/>
  <mergeCells count="6">
    <mergeCell ref="AN10:AP10"/>
    <mergeCell ref="AN11:AP11"/>
    <mergeCell ref="AN6:AP6"/>
    <mergeCell ref="B1:K3"/>
    <mergeCell ref="C4:E4"/>
    <mergeCell ref="C5:E5"/>
  </mergeCells>
  <pageMargins left="0.51181102362204722" right="0.51181102362204722" top="0.78740157480314965" bottom="0.78740157480314965" header="0.31496062992125984" footer="0.31496062992125984"/>
  <pageSetup paperSize="9" scale="35" orientation="portrait" r:id="rId1"/>
  <headerFooter>
    <oddFooter>&amp;C&amp;"calibri,Regular"&amp;10Classificação da Informação: &amp;"calibri,Bold"Uso Irrestrito_x000D_&amp;1#&amp;"Calibri"&amp;10 Classificação da informação: Uso Interno</oddFooter>
    <evenFooter>&amp;C&amp;"calibri,Regular"&amp;10Classificação da Informação: &amp;"calibri,Bold"Uso Irrestrito</evenFooter>
    <firstFooter>&amp;C&amp;"calibri,Regular"&amp;10Classificação da Informação: &amp;"calibri,Bold"Uso Irrestrito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orcado">
                <anchor moveWithCells="1" sizeWithCells="1">
                  <from>
                    <xdr:col>1</xdr:col>
                    <xdr:colOff>95250</xdr:colOff>
                    <xdr:row>10</xdr:row>
                    <xdr:rowOff>38100</xdr:rowOff>
                  </from>
                  <to>
                    <xdr:col>1</xdr:col>
                    <xdr:colOff>904875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realizado">
                <anchor moveWithCells="1" sizeWithCells="1">
                  <from>
                    <xdr:col>1</xdr:col>
                    <xdr:colOff>1200150</xdr:colOff>
                    <xdr:row>10</xdr:row>
                    <xdr:rowOff>38100</xdr:rowOff>
                  </from>
                  <to>
                    <xdr:col>1</xdr:col>
                    <xdr:colOff>2009775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tudo">
                <anchor moveWithCells="1" sizeWithCells="1">
                  <from>
                    <xdr:col>1</xdr:col>
                    <xdr:colOff>2295525</xdr:colOff>
                    <xdr:row>10</xdr:row>
                    <xdr:rowOff>38100</xdr:rowOff>
                  </from>
                  <to>
                    <xdr:col>1</xdr:col>
                    <xdr:colOff>2962275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P1:R25"/>
  <sheetViews>
    <sheetView showGridLines="0" zoomScaleNormal="100" workbookViewId="0">
      <selection activeCell="P17" sqref="P17:R17"/>
    </sheetView>
  </sheetViews>
  <sheetFormatPr defaultRowHeight="15" x14ac:dyDescent="0.25"/>
  <cols>
    <col min="15" max="15" width="1.7109375" customWidth="1"/>
    <col min="16" max="16" width="30.5703125" customWidth="1"/>
    <col min="17" max="17" width="15.140625" customWidth="1"/>
    <col min="18" max="18" width="11.140625" customWidth="1"/>
    <col min="19" max="19" width="1.7109375" customWidth="1"/>
  </cols>
  <sheetData>
    <row r="1" spans="16:18" ht="6" customHeight="1" thickBot="1" x14ac:dyDescent="0.3"/>
    <row r="2" spans="16:18" ht="22.5" customHeight="1" x14ac:dyDescent="0.25">
      <c r="P2" s="223" t="s">
        <v>66</v>
      </c>
      <c r="Q2" s="224" t="s">
        <v>67</v>
      </c>
      <c r="R2" s="225" t="s">
        <v>68</v>
      </c>
    </row>
    <row r="3" spans="16:18" x14ac:dyDescent="0.25">
      <c r="P3" s="96" t="str">
        <f>'Planejamento Financeiro'!B28</f>
        <v>Moradia</v>
      </c>
      <c r="Q3" s="78">
        <f>'Planejamento Financeiro'!$D$61+'Planejamento Financeiro'!$G$61+'Planejamento Financeiro'!$J$61+'Planejamento Financeiro'!$M$61+'Planejamento Financeiro'!$P$61+'Planejamento Financeiro'!$S$61+'Planejamento Financeiro'!$V$61+'Planejamento Financeiro'!$Y$61+'Planejamento Financeiro'!$AB$61+'Planejamento Financeiro'!$AE$61+'Planejamento Financeiro'!$AH$61+'Planejamento Financeiro'!$AK$61</f>
        <v>0</v>
      </c>
      <c r="R3" s="97" t="e">
        <f t="shared" ref="R3:R10" si="0">Q3/$Q$11</f>
        <v>#DIV/0!</v>
      </c>
    </row>
    <row r="4" spans="16:18" x14ac:dyDescent="0.25">
      <c r="P4" s="98" t="str">
        <f>'Planejamento Financeiro'!B39</f>
        <v>Transporte</v>
      </c>
      <c r="Q4" s="78">
        <f>'Planejamento Financeiro'!$D$61+'Planejamento Financeiro'!$G$61+'Planejamento Financeiro'!$J$61+'Planejamento Financeiro'!$M$61+'Planejamento Financeiro'!$P$61+'Planejamento Financeiro'!$S$61+'Planejamento Financeiro'!$V$61+'Planejamento Financeiro'!$Y$61+'Planejamento Financeiro'!$AB$61+'Planejamento Financeiro'!$AE$61+'Planejamento Financeiro'!$AH$61+'Planejamento Financeiro'!$AK$61</f>
        <v>0</v>
      </c>
      <c r="R4" s="99" t="e">
        <f t="shared" si="0"/>
        <v>#DIV/0!</v>
      </c>
    </row>
    <row r="5" spans="16:18" x14ac:dyDescent="0.25">
      <c r="P5" s="98" t="str">
        <f>'Planejamento Financeiro'!B50</f>
        <v>Saúde, educação, segurança</v>
      </c>
      <c r="Q5" s="78">
        <f>'Planejamento Financeiro'!$D$61+'Planejamento Financeiro'!$G$61+'Planejamento Financeiro'!$J$61+'Planejamento Financeiro'!$M$61+'Planejamento Financeiro'!$P$61+'Planejamento Financeiro'!$S$61+'Planejamento Financeiro'!$V$61+'Planejamento Financeiro'!$Y$61+'Planejamento Financeiro'!$AB$61+'Planejamento Financeiro'!$AE$61+'Planejamento Financeiro'!$AH$61+'Planejamento Financeiro'!$AK$61</f>
        <v>0</v>
      </c>
      <c r="R5" s="99" t="e">
        <f t="shared" si="0"/>
        <v>#DIV/0!</v>
      </c>
    </row>
    <row r="6" spans="16:18" x14ac:dyDescent="0.25">
      <c r="P6" s="98" t="str">
        <f>'Planejamento Financeiro'!B61</f>
        <v>Conforto e lazer</v>
      </c>
      <c r="Q6" s="78">
        <f>'Planejamento Financeiro'!$D$61+'Planejamento Financeiro'!$G$61+'Planejamento Financeiro'!$J$61+'Planejamento Financeiro'!$M$61+'Planejamento Financeiro'!$P$61+'Planejamento Financeiro'!$S$61+'Planejamento Financeiro'!$V$61+'Planejamento Financeiro'!$Y$61+'Planejamento Financeiro'!$AB$61+'Planejamento Financeiro'!$AE$61+'Planejamento Financeiro'!$AH$61+'Planejamento Financeiro'!$AK$61</f>
        <v>0</v>
      </c>
      <c r="R6" s="99" t="e">
        <f t="shared" si="0"/>
        <v>#DIV/0!</v>
      </c>
    </row>
    <row r="7" spans="16:18" x14ac:dyDescent="0.25">
      <c r="P7" s="98" t="str">
        <f>'Planejamento Financeiro'!B70</f>
        <v>Alimentação, higiene e vestuário</v>
      </c>
      <c r="Q7" s="78">
        <f>'Planejamento Financeiro'!$D$70+'Planejamento Financeiro'!$G$70+'Planejamento Financeiro'!$J$70+'Planejamento Financeiro'!$M$70+'Planejamento Financeiro'!$P$70+'Planejamento Financeiro'!$S$70+'Planejamento Financeiro'!$V$70+'Planejamento Financeiro'!$Y$70+'Planejamento Financeiro'!$AB$70+'Planejamento Financeiro'!$AE$70+'Planejamento Financeiro'!$AH$70+'Planejamento Financeiro'!$AK$70</f>
        <v>0</v>
      </c>
      <c r="R7" s="99" t="e">
        <f t="shared" si="0"/>
        <v>#DIV/0!</v>
      </c>
    </row>
    <row r="8" spans="16:18" x14ac:dyDescent="0.25">
      <c r="P8" s="98" t="str">
        <f>'Planejamento Financeiro'!B79</f>
        <v>Despesas de capital</v>
      </c>
      <c r="Q8" s="78">
        <f>'Planejamento Financeiro'!$D$79+'Planejamento Financeiro'!$G$79+'Planejamento Financeiro'!$J$79+'Planejamento Financeiro'!$M$79+'Planejamento Financeiro'!$P$79+'Planejamento Financeiro'!$S$79+'Planejamento Financeiro'!$V$79+'Planejamento Financeiro'!$Y$79+'Planejamento Financeiro'!$AB$79+'Planejamento Financeiro'!$AE$79+'Planejamento Financeiro'!$AH$79+'Planejamento Financeiro'!$AK$79</f>
        <v>0</v>
      </c>
      <c r="R8" s="99" t="e">
        <f t="shared" si="0"/>
        <v>#DIV/0!</v>
      </c>
    </row>
    <row r="9" spans="16:18" x14ac:dyDescent="0.25">
      <c r="P9" s="98" t="str">
        <f>'Planejamento Financeiro'!B86</f>
        <v>Custos financeiros e bancários</v>
      </c>
      <c r="Q9" s="78">
        <f>'Planejamento Financeiro'!$D$86+'Planejamento Financeiro'!$G$86+'Planejamento Financeiro'!$J$86+'Planejamento Financeiro'!$M$86+'Planejamento Financeiro'!$P$86+'Planejamento Financeiro'!$S$86+'Planejamento Financeiro'!$V$86+'Planejamento Financeiro'!$Y$86+'Planejamento Financeiro'!$AB$86+'Planejamento Financeiro'!$AE$86+'Planejamento Financeiro'!$AH$86+'Planejamento Financeiro'!$AK$86</f>
        <v>0</v>
      </c>
      <c r="R9" s="99" t="e">
        <f t="shared" si="0"/>
        <v>#DIV/0!</v>
      </c>
    </row>
    <row r="10" spans="16:18" x14ac:dyDescent="0.25">
      <c r="P10" s="100" t="str">
        <f>'Planejamento Financeiro'!B92</f>
        <v>Outros</v>
      </c>
      <c r="Q10" s="79">
        <f>'Planejamento Financeiro'!$D$92+'Planejamento Financeiro'!$G$92+'Planejamento Financeiro'!$J$92+'Planejamento Financeiro'!$M$92+'Planejamento Financeiro'!$P$92+'Planejamento Financeiro'!$S$92+'Planejamento Financeiro'!$V$92+'Planejamento Financeiro'!$Y$92+'Planejamento Financeiro'!$AB$92+'Planejamento Financeiro'!$AE$92+'Planejamento Financeiro'!$AH$92+'Planejamento Financeiro'!$AK$92</f>
        <v>0</v>
      </c>
      <c r="R10" s="101" t="e">
        <f t="shared" si="0"/>
        <v>#DIV/0!</v>
      </c>
    </row>
    <row r="11" spans="16:18" ht="15.75" thickBot="1" x14ac:dyDescent="0.3">
      <c r="P11" s="251" t="s">
        <v>69</v>
      </c>
      <c r="Q11" s="252">
        <f>SUM(Q3:Q10)</f>
        <v>0</v>
      </c>
      <c r="R11" s="253" t="e">
        <f>SUM(R3:R10)</f>
        <v>#DIV/0!</v>
      </c>
    </row>
    <row r="12" spans="16:18" x14ac:dyDescent="0.25">
      <c r="Q12" s="77" t="str">
        <f>IF(Q11='Planejamento Financeiro'!D94+'Planejamento Financeiro'!G94+'Planejamento Financeiro'!J94+'Planejamento Financeiro'!M94+'Planejamento Financeiro'!P94+'Planejamento Financeiro'!S94+'Planejamento Financeiro'!V94+'Planejamento Financeiro'!Y94+'Planejamento Financeiro'!AB94+'Planejamento Financeiro'!AE94+'Planejamento Financeiro'!AH94+'Planejamento Financeiro'!AK94,"","ERRO SOMA")</f>
        <v/>
      </c>
    </row>
    <row r="13" spans="16:18" x14ac:dyDescent="0.25">
      <c r="P13" s="95"/>
      <c r="Q13" s="95"/>
      <c r="R13" s="95"/>
    </row>
    <row r="14" spans="16:18" x14ac:dyDescent="0.25">
      <c r="P14" s="95"/>
      <c r="Q14" s="95"/>
      <c r="R14" s="95"/>
    </row>
    <row r="15" spans="16:18" x14ac:dyDescent="0.25">
      <c r="P15" s="269"/>
      <c r="Q15" s="269"/>
      <c r="R15" s="269"/>
    </row>
    <row r="16" spans="16:18" x14ac:dyDescent="0.25">
      <c r="P16" s="269"/>
      <c r="Q16" s="269"/>
      <c r="R16" s="269"/>
    </row>
    <row r="17" spans="16:18" x14ac:dyDescent="0.25">
      <c r="P17" s="269"/>
      <c r="Q17" s="269"/>
      <c r="R17" s="269"/>
    </row>
    <row r="18" spans="16:18" x14ac:dyDescent="0.25">
      <c r="P18" s="95"/>
      <c r="Q18" s="95"/>
      <c r="R18" s="95"/>
    </row>
    <row r="19" spans="16:18" x14ac:dyDescent="0.25">
      <c r="P19" s="95"/>
      <c r="Q19" s="95"/>
      <c r="R19" s="95"/>
    </row>
    <row r="20" spans="16:18" x14ac:dyDescent="0.25">
      <c r="P20" s="95"/>
      <c r="Q20" s="95"/>
      <c r="R20" s="95"/>
    </row>
    <row r="21" spans="16:18" x14ac:dyDescent="0.25">
      <c r="P21" s="95"/>
      <c r="Q21" s="95"/>
      <c r="R21" s="95"/>
    </row>
    <row r="22" spans="16:18" x14ac:dyDescent="0.25">
      <c r="P22" s="95"/>
      <c r="Q22" s="95"/>
      <c r="R22" s="95"/>
    </row>
    <row r="23" spans="16:18" x14ac:dyDescent="0.25">
      <c r="P23" s="95"/>
      <c r="Q23" s="95"/>
      <c r="R23" s="95"/>
    </row>
    <row r="24" spans="16:18" x14ac:dyDescent="0.25">
      <c r="P24" s="95"/>
      <c r="Q24" s="95"/>
      <c r="R24" s="95"/>
    </row>
    <row r="25" spans="16:18" x14ac:dyDescent="0.25">
      <c r="P25" s="95"/>
      <c r="Q25" s="95"/>
      <c r="R25" s="95"/>
    </row>
  </sheetData>
  <sheetProtection selectLockedCells="1" selectUnlockedCells="1"/>
  <mergeCells count="3">
    <mergeCell ref="P15:R15"/>
    <mergeCell ref="P16:R16"/>
    <mergeCell ref="P17:R17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&amp;C&amp;"calibri,Regular"&amp;10Classificação da Informação: &amp;"calibri,Bold"Uso Irrestrito_x000D_&amp;1#&amp;"Calibri"&amp;10 Classificação da informação: Uso Interno</oddFooter>
    <evenFooter>&amp;C&amp;"calibri,Regular"&amp;10Classificação da Informação: &amp;"calibri,Bold"Uso Irrestrito</evenFooter>
    <firstFooter>&amp;C&amp;"calibri,Regular"&amp;10Classificação da Informação: &amp;"calibri,Bold"Uso Irrestrito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pageSetUpPr fitToPage="1"/>
  </sheetPr>
  <dimension ref="B1:G96"/>
  <sheetViews>
    <sheetView showGridLines="0" zoomScale="80" zoomScaleNormal="80" workbookViewId="0">
      <selection activeCell="K11" sqref="K11"/>
    </sheetView>
  </sheetViews>
  <sheetFormatPr defaultRowHeight="15" outlineLevelRow="1" x14ac:dyDescent="0.25"/>
  <cols>
    <col min="1" max="1" width="1.5703125" style="103" customWidth="1"/>
    <col min="2" max="2" width="46.5703125" style="103" customWidth="1"/>
    <col min="3" max="5" width="13.5703125" style="103" customWidth="1"/>
    <col min="6" max="6" width="1.5703125" style="103" customWidth="1"/>
    <col min="7" max="7" width="9.140625" style="103"/>
    <col min="8" max="8" width="8.28515625" style="103" bestFit="1" customWidth="1"/>
    <col min="9" max="16384" width="9.140625" style="103"/>
  </cols>
  <sheetData>
    <row r="1" spans="2:7" ht="12" customHeight="1" thickBot="1" x14ac:dyDescent="0.3">
      <c r="B1" s="102"/>
      <c r="C1" s="102"/>
      <c r="D1" s="102"/>
      <c r="E1" s="102"/>
    </row>
    <row r="2" spans="2:7" ht="20.25" customHeight="1" thickBot="1" x14ac:dyDescent="0.3">
      <c r="B2" s="226" t="s">
        <v>70</v>
      </c>
      <c r="C2" s="162"/>
      <c r="D2" s="162"/>
      <c r="E2" s="162"/>
    </row>
    <row r="3" spans="2:7" ht="20.25" customHeight="1" x14ac:dyDescent="0.25">
      <c r="B3" s="270" t="str">
        <f>"RECEITAS, DESPESAS E INVESTIMENTOS                           "&amp;D9&amp;""</f>
        <v>RECEITAS, DESPESAS E INVESTIMENTOS                           2017</v>
      </c>
      <c r="C3" s="162"/>
      <c r="D3" s="162"/>
      <c r="E3" s="162"/>
    </row>
    <row r="4" spans="2:7" ht="21" customHeight="1" x14ac:dyDescent="0.3">
      <c r="B4" s="270"/>
      <c r="C4" s="162"/>
      <c r="D4" s="162"/>
      <c r="E4" s="162"/>
      <c r="G4" s="117"/>
    </row>
    <row r="5" spans="2:7" s="118" customFormat="1" ht="21" customHeight="1" x14ac:dyDescent="0.3">
      <c r="B5" s="270"/>
      <c r="C5" s="162"/>
      <c r="D5" s="162"/>
      <c r="E5" s="162"/>
      <c r="G5" s="117"/>
    </row>
    <row r="6" spans="2:7" s="118" customFormat="1" ht="21" customHeight="1" thickBot="1" x14ac:dyDescent="0.35">
      <c r="B6" s="271"/>
      <c r="C6" s="162"/>
      <c r="D6" s="162"/>
      <c r="E6" s="162"/>
      <c r="G6" s="117"/>
    </row>
    <row r="7" spans="2:7" s="118" customFormat="1" ht="6" customHeight="1" x14ac:dyDescent="0.3">
      <c r="B7" s="124"/>
      <c r="C7" s="125"/>
      <c r="D7" s="114"/>
      <c r="E7" s="114"/>
      <c r="G7" s="117"/>
    </row>
    <row r="8" spans="2:7" ht="6" customHeight="1" x14ac:dyDescent="0.3">
      <c r="B8" s="126"/>
      <c r="C8" s="127"/>
      <c r="D8" s="127"/>
      <c r="E8" s="127"/>
      <c r="G8" s="129"/>
    </row>
    <row r="9" spans="2:7" s="130" customFormat="1" ht="15.75" x14ac:dyDescent="0.25">
      <c r="B9" s="227"/>
      <c r="C9" s="200"/>
      <c r="D9" s="228">
        <f>YEAR('Planejamento Financeiro'!$C$6)</f>
        <v>2017</v>
      </c>
      <c r="E9" s="229"/>
      <c r="G9" s="131"/>
    </row>
    <row r="10" spans="2:7" s="130" customFormat="1" ht="3.75" customHeight="1" x14ac:dyDescent="0.25">
      <c r="B10" s="197"/>
      <c r="C10" s="198"/>
      <c r="D10" s="199"/>
      <c r="E10" s="240"/>
      <c r="G10" s="131"/>
    </row>
    <row r="11" spans="2:7" s="130" customFormat="1" ht="15.75" customHeight="1" x14ac:dyDescent="0.3">
      <c r="B11" s="230" t="s">
        <v>42</v>
      </c>
      <c r="C11" s="231" t="s">
        <v>49</v>
      </c>
      <c r="D11" s="231" t="s">
        <v>50</v>
      </c>
      <c r="E11" s="232" t="s">
        <v>51</v>
      </c>
      <c r="G11" s="117"/>
    </row>
    <row r="12" spans="2:7" s="130" customFormat="1" ht="15.75" hidden="1" customHeight="1" outlineLevel="1" x14ac:dyDescent="0.3">
      <c r="B12" s="133" t="s">
        <v>30</v>
      </c>
      <c r="C12" s="82">
        <f>'Planejamento Financeiro'!C14+'Planejamento Financeiro'!F14+'Planejamento Financeiro'!I14+'Planejamento Financeiro'!L14+'Planejamento Financeiro'!O14+'Planejamento Financeiro'!R14+'Planejamento Financeiro'!U14+'Planejamento Financeiro'!X14+'Planejamento Financeiro'!AA14+'Planejamento Financeiro'!AD14+'Planejamento Financeiro'!AG14+'Planejamento Financeiro'!AJ14</f>
        <v>0</v>
      </c>
      <c r="D12" s="82">
        <f>'Planejamento Financeiro'!D14+'Planejamento Financeiro'!G14+'Planejamento Financeiro'!J14+'Planejamento Financeiro'!M14+'Planejamento Financeiro'!P14+'Planejamento Financeiro'!S14+'Planejamento Financeiro'!V14+'Planejamento Financeiro'!Y14+'Planejamento Financeiro'!AB14+'Planejamento Financeiro'!AE14+'Planejamento Financeiro'!AH14+'Planejamento Financeiro'!AK14</f>
        <v>0</v>
      </c>
      <c r="E12" s="135">
        <f>D12-C12</f>
        <v>0</v>
      </c>
      <c r="G12" s="117"/>
    </row>
    <row r="13" spans="2:7" s="130" customFormat="1" ht="15.75" hidden="1" outlineLevel="1" x14ac:dyDescent="0.25">
      <c r="B13" s="136" t="s">
        <v>31</v>
      </c>
      <c r="C13" s="83">
        <f>'Planejamento Financeiro'!C15+'Planejamento Financeiro'!F15+'Planejamento Financeiro'!I15+'Planejamento Financeiro'!L15+'Planejamento Financeiro'!O15+'Planejamento Financeiro'!R15+'Planejamento Financeiro'!U15+'Planejamento Financeiro'!X15+'Planejamento Financeiro'!AA15+'Planejamento Financeiro'!AD15+'Planejamento Financeiro'!AG15+'Planejamento Financeiro'!AJ15</f>
        <v>0</v>
      </c>
      <c r="D13" s="83">
        <f>'Planejamento Financeiro'!D15+'Planejamento Financeiro'!G15+'Planejamento Financeiro'!J15+'Planejamento Financeiro'!M15+'Planejamento Financeiro'!P15+'Planejamento Financeiro'!S15+'Planejamento Financeiro'!V15+'Planejamento Financeiro'!Y15+'Planejamento Financeiro'!AB15+'Planejamento Financeiro'!AE15+'Planejamento Financeiro'!AH15+'Planejamento Financeiro'!AK15</f>
        <v>0</v>
      </c>
      <c r="E13" s="135">
        <f t="shared" ref="E13:E18" si="0">D13-C13</f>
        <v>0</v>
      </c>
    </row>
    <row r="14" spans="2:7" s="130" customFormat="1" ht="15.75" hidden="1" outlineLevel="1" x14ac:dyDescent="0.25">
      <c r="B14" s="136" t="s">
        <v>32</v>
      </c>
      <c r="C14" s="83">
        <f>'Planejamento Financeiro'!C16+'Planejamento Financeiro'!F16+'Planejamento Financeiro'!I16+'Planejamento Financeiro'!L16+'Planejamento Financeiro'!O16+'Planejamento Financeiro'!R16+'Planejamento Financeiro'!U16+'Planejamento Financeiro'!X16+'Planejamento Financeiro'!AA16+'Planejamento Financeiro'!AD16+'Planejamento Financeiro'!AG16+'Planejamento Financeiro'!AJ16</f>
        <v>0</v>
      </c>
      <c r="D14" s="83">
        <f>'Planejamento Financeiro'!D16+'Planejamento Financeiro'!G16+'Planejamento Financeiro'!J16+'Planejamento Financeiro'!M16+'Planejamento Financeiro'!P16+'Planejamento Financeiro'!S16+'Planejamento Financeiro'!V16+'Planejamento Financeiro'!Y16+'Planejamento Financeiro'!AB16+'Planejamento Financeiro'!AE16+'Planejamento Financeiro'!AH16+'Planejamento Financeiro'!AK16</f>
        <v>0</v>
      </c>
      <c r="E14" s="135">
        <f t="shared" si="0"/>
        <v>0</v>
      </c>
    </row>
    <row r="15" spans="2:7" s="130" customFormat="1" ht="15.75" hidden="1" outlineLevel="1" x14ac:dyDescent="0.25">
      <c r="B15" s="136" t="s">
        <v>0</v>
      </c>
      <c r="C15" s="83">
        <f>'Planejamento Financeiro'!C17+'Planejamento Financeiro'!F17+'Planejamento Financeiro'!I17+'Planejamento Financeiro'!L17+'Planejamento Financeiro'!O17+'Planejamento Financeiro'!R17+'Planejamento Financeiro'!U17+'Planejamento Financeiro'!X17+'Planejamento Financeiro'!AA17+'Planejamento Financeiro'!AD17+'Planejamento Financeiro'!AG17+'Planejamento Financeiro'!AJ17</f>
        <v>0</v>
      </c>
      <c r="D15" s="83">
        <f>'Planejamento Financeiro'!D17+'Planejamento Financeiro'!G17+'Planejamento Financeiro'!J17+'Planejamento Financeiro'!M17+'Planejamento Financeiro'!P17+'Planejamento Financeiro'!S17+'Planejamento Financeiro'!V17+'Planejamento Financeiro'!Y17+'Planejamento Financeiro'!AB17+'Planejamento Financeiro'!AE17+'Planejamento Financeiro'!AH17+'Planejamento Financeiro'!AK17</f>
        <v>0</v>
      </c>
      <c r="E15" s="135">
        <f t="shared" si="0"/>
        <v>0</v>
      </c>
    </row>
    <row r="16" spans="2:7" s="130" customFormat="1" ht="15.75" hidden="1" outlineLevel="1" x14ac:dyDescent="0.25">
      <c r="B16" s="86"/>
      <c r="C16" s="83">
        <f>'Planejamento Financeiro'!C18+'Planejamento Financeiro'!F18+'Planejamento Financeiro'!I18+'Planejamento Financeiro'!L18+'Planejamento Financeiro'!O18+'Planejamento Financeiro'!R18+'Planejamento Financeiro'!U18+'Planejamento Financeiro'!X18+'Planejamento Financeiro'!AA18+'Planejamento Financeiro'!AD18+'Planejamento Financeiro'!AG18+'Planejamento Financeiro'!AJ18</f>
        <v>0</v>
      </c>
      <c r="D16" s="83">
        <f>'Planejamento Financeiro'!D18+'Planejamento Financeiro'!G18+'Planejamento Financeiro'!J18+'Planejamento Financeiro'!M18+'Planejamento Financeiro'!P18+'Planejamento Financeiro'!S18+'Planejamento Financeiro'!V18+'Planejamento Financeiro'!Y18+'Planejamento Financeiro'!AB18+'Planejamento Financeiro'!AE18+'Planejamento Financeiro'!AH18+'Planejamento Financeiro'!AK18</f>
        <v>0</v>
      </c>
      <c r="E16" s="135">
        <f t="shared" si="0"/>
        <v>0</v>
      </c>
    </row>
    <row r="17" spans="2:5" s="130" customFormat="1" ht="15.75" hidden="1" outlineLevel="1" x14ac:dyDescent="0.25">
      <c r="B17" s="86"/>
      <c r="C17" s="83">
        <f>'Planejamento Financeiro'!C19+'Planejamento Financeiro'!F19+'Planejamento Financeiro'!I19+'Planejamento Financeiro'!L19+'Planejamento Financeiro'!O19+'Planejamento Financeiro'!R19+'Planejamento Financeiro'!U19+'Planejamento Financeiro'!X19+'Planejamento Financeiro'!AA19+'Planejamento Financeiro'!AD19+'Planejamento Financeiro'!AG19+'Planejamento Financeiro'!AJ19</f>
        <v>0</v>
      </c>
      <c r="D17" s="83">
        <f>'Planejamento Financeiro'!D19+'Planejamento Financeiro'!G19+'Planejamento Financeiro'!J19+'Planejamento Financeiro'!M19+'Planejamento Financeiro'!P19+'Planejamento Financeiro'!S19+'Planejamento Financeiro'!V19+'Planejamento Financeiro'!Y19+'Planejamento Financeiro'!AB19+'Planejamento Financeiro'!AE19+'Planejamento Financeiro'!AH19+'Planejamento Financeiro'!AK19</f>
        <v>0</v>
      </c>
      <c r="E17" s="135">
        <f t="shared" si="0"/>
        <v>0</v>
      </c>
    </row>
    <row r="18" spans="2:5" s="130" customFormat="1" ht="15.75" hidden="1" outlineLevel="1" x14ac:dyDescent="0.25">
      <c r="B18" s="87"/>
      <c r="C18" s="139">
        <f>'Planejamento Financeiro'!C20+'Planejamento Financeiro'!F20+'Planejamento Financeiro'!I20+'Planejamento Financeiro'!L20+'Planejamento Financeiro'!O20+'Planejamento Financeiro'!R20+'Planejamento Financeiro'!U20+'Planejamento Financeiro'!X20+'Planejamento Financeiro'!AA20+'Planejamento Financeiro'!AD20+'Planejamento Financeiro'!AG20+'Planejamento Financeiro'!AJ20</f>
        <v>0</v>
      </c>
      <c r="D18" s="139">
        <f>'Planejamento Financeiro'!D20+'Planejamento Financeiro'!G20+'Planejamento Financeiro'!J20+'Planejamento Financeiro'!M20+'Planejamento Financeiro'!P20+'Planejamento Financeiro'!S20+'Planejamento Financeiro'!V20+'Planejamento Financeiro'!Y20+'Planejamento Financeiro'!AB20+'Planejamento Financeiro'!AE20+'Planejamento Financeiro'!AH20+'Planejamento Financeiro'!AK20</f>
        <v>0</v>
      </c>
      <c r="E18" s="135">
        <f t="shared" si="0"/>
        <v>0</v>
      </c>
    </row>
    <row r="19" spans="2:5" s="130" customFormat="1" ht="15.75" collapsed="1" x14ac:dyDescent="0.25">
      <c r="B19" s="142" t="s">
        <v>45</v>
      </c>
      <c r="C19" s="143">
        <f>SUM(C12:C18)+'Planejamento Financeiro'!$C$8</f>
        <v>0</v>
      </c>
      <c r="D19" s="143">
        <f>SUM(D12:D18)+'Planejamento Financeiro'!$C$8</f>
        <v>0</v>
      </c>
      <c r="E19" s="144">
        <f t="shared" ref="E19" si="1">SUM(E12:E18)</f>
        <v>0</v>
      </c>
    </row>
    <row r="20" spans="2:5" s="147" customFormat="1" ht="7.5" customHeight="1" x14ac:dyDescent="0.25">
      <c r="B20" s="145"/>
      <c r="C20" s="146"/>
      <c r="D20" s="146"/>
      <c r="E20" s="146"/>
    </row>
    <row r="21" spans="2:5" s="130" customFormat="1" ht="15.75" x14ac:dyDescent="0.25">
      <c r="B21" s="230" t="s">
        <v>47</v>
      </c>
      <c r="C21" s="236"/>
      <c r="D21" s="236"/>
      <c r="E21" s="237"/>
    </row>
    <row r="22" spans="2:5" s="130" customFormat="1" ht="15.75" hidden="1" outlineLevel="1" x14ac:dyDescent="0.25">
      <c r="B22" s="136" t="s">
        <v>29</v>
      </c>
      <c r="C22" s="83">
        <f>'Planejamento Financeiro'!C24+'Planejamento Financeiro'!F24+'Planejamento Financeiro'!I24+'Planejamento Financeiro'!L24+'Planejamento Financeiro'!O24+'Planejamento Financeiro'!R24+'Planejamento Financeiro'!U24+'Planejamento Financeiro'!X24+'Planejamento Financeiro'!AA24+'Planejamento Financeiro'!AD24+'Planejamento Financeiro'!AG24+'Planejamento Financeiro'!AJ24</f>
        <v>0</v>
      </c>
      <c r="D22" s="83">
        <f>'Planejamento Financeiro'!D24+'Planejamento Financeiro'!G24+'Planejamento Financeiro'!J24+'Planejamento Financeiro'!M24+'Planejamento Financeiro'!P24+'Planejamento Financeiro'!S24+'Planejamento Financeiro'!V24+'Planejamento Financeiro'!Y24+'Planejamento Financeiro'!AB24+'Planejamento Financeiro'!AE24+'Planejamento Financeiro'!AH24+'Planejamento Financeiro'!AK24</f>
        <v>0</v>
      </c>
      <c r="E22" s="135">
        <f>D22-C22</f>
        <v>0</v>
      </c>
    </row>
    <row r="23" spans="2:5" s="130" customFormat="1" ht="15.75" collapsed="1" x14ac:dyDescent="0.25">
      <c r="B23" s="142" t="s">
        <v>48</v>
      </c>
      <c r="C23" s="143">
        <f>SUM(C22:C22)</f>
        <v>0</v>
      </c>
      <c r="D23" s="143">
        <f t="shared" ref="D23:E23" si="2">SUM(D22:D22)</f>
        <v>0</v>
      </c>
      <c r="E23" s="144">
        <f t="shared" si="2"/>
        <v>0</v>
      </c>
    </row>
    <row r="24" spans="2:5" s="147" customFormat="1" ht="7.5" customHeight="1" x14ac:dyDescent="0.25">
      <c r="B24" s="145"/>
      <c r="C24" s="146"/>
      <c r="D24" s="146"/>
      <c r="E24" s="146"/>
    </row>
    <row r="25" spans="2:5" s="130" customFormat="1" ht="15.75" x14ac:dyDescent="0.25">
      <c r="B25" s="230" t="s">
        <v>58</v>
      </c>
      <c r="C25" s="238"/>
      <c r="D25" s="238"/>
      <c r="E25" s="239"/>
    </row>
    <row r="26" spans="2:5" s="130" customFormat="1" ht="15.75" x14ac:dyDescent="0.25">
      <c r="B26" s="150" t="s">
        <v>1</v>
      </c>
      <c r="C26" s="134">
        <f>SUM(C27:C36)</f>
        <v>0</v>
      </c>
      <c r="D26" s="134">
        <f t="shared" ref="D26:E26" si="3">SUM(D27:D36)</f>
        <v>0</v>
      </c>
      <c r="E26" s="135">
        <f t="shared" si="3"/>
        <v>0</v>
      </c>
    </row>
    <row r="27" spans="2:5" s="130" customFormat="1" ht="15.75" hidden="1" outlineLevel="1" x14ac:dyDescent="0.25">
      <c r="B27" s="152" t="s">
        <v>2</v>
      </c>
      <c r="C27" s="83">
        <f>'Planejamento Financeiro'!C29+'Planejamento Financeiro'!F29+'Planejamento Financeiro'!I29+'Planejamento Financeiro'!L29+'Planejamento Financeiro'!O29+'Planejamento Financeiro'!R29+'Planejamento Financeiro'!U29+'Planejamento Financeiro'!X29+'Planejamento Financeiro'!AA29+'Planejamento Financeiro'!AD29+'Planejamento Financeiro'!AG29+'Planejamento Financeiro'!AJ29</f>
        <v>0</v>
      </c>
      <c r="D27" s="83">
        <f>'Planejamento Financeiro'!D29+'Planejamento Financeiro'!G29+'Planejamento Financeiro'!J29+'Planejamento Financeiro'!M29+'Planejamento Financeiro'!P29+'Planejamento Financeiro'!S29+'Planejamento Financeiro'!V29+'Planejamento Financeiro'!Y29+'Planejamento Financeiro'!AB29+'Planejamento Financeiro'!AE29+'Planejamento Financeiro'!AH29+'Planejamento Financeiro'!AK29</f>
        <v>0</v>
      </c>
      <c r="E27" s="135">
        <f t="shared" ref="E27:E36" si="4">C27-D27</f>
        <v>0</v>
      </c>
    </row>
    <row r="28" spans="2:5" s="130" customFormat="1" ht="15.75" hidden="1" outlineLevel="1" x14ac:dyDescent="0.25">
      <c r="B28" s="152" t="s">
        <v>3</v>
      </c>
      <c r="C28" s="83">
        <f>'Planejamento Financeiro'!C30+'Planejamento Financeiro'!F30+'Planejamento Financeiro'!I30+'Planejamento Financeiro'!L30+'Planejamento Financeiro'!O30+'Planejamento Financeiro'!R30+'Planejamento Financeiro'!U30+'Planejamento Financeiro'!X30+'Planejamento Financeiro'!AA30+'Planejamento Financeiro'!AD30+'Planejamento Financeiro'!AG30+'Planejamento Financeiro'!AJ30</f>
        <v>0</v>
      </c>
      <c r="D28" s="83">
        <f>'Planejamento Financeiro'!D30+'Planejamento Financeiro'!G30+'Planejamento Financeiro'!J30+'Planejamento Financeiro'!M30+'Planejamento Financeiro'!P30+'Planejamento Financeiro'!S30+'Planejamento Financeiro'!V30+'Planejamento Financeiro'!Y30+'Planejamento Financeiro'!AB30+'Planejamento Financeiro'!AE30+'Planejamento Financeiro'!AH30+'Planejamento Financeiro'!AK30</f>
        <v>0</v>
      </c>
      <c r="E28" s="135">
        <f t="shared" si="4"/>
        <v>0</v>
      </c>
    </row>
    <row r="29" spans="2:5" s="130" customFormat="1" ht="15.75" hidden="1" outlineLevel="1" x14ac:dyDescent="0.25">
      <c r="B29" s="152" t="s">
        <v>4</v>
      </c>
      <c r="C29" s="83">
        <f>'Planejamento Financeiro'!C31+'Planejamento Financeiro'!F31+'Planejamento Financeiro'!I31+'Planejamento Financeiro'!L31+'Planejamento Financeiro'!O31+'Planejamento Financeiro'!R31+'Planejamento Financeiro'!U31+'Planejamento Financeiro'!X31+'Planejamento Financeiro'!AA31+'Planejamento Financeiro'!AD31+'Planejamento Financeiro'!AG31+'Planejamento Financeiro'!AJ31</f>
        <v>0</v>
      </c>
      <c r="D29" s="83">
        <f>'Planejamento Financeiro'!D31+'Planejamento Financeiro'!G31+'Planejamento Financeiro'!J31+'Planejamento Financeiro'!M31+'Planejamento Financeiro'!P31+'Planejamento Financeiro'!S31+'Planejamento Financeiro'!V31+'Planejamento Financeiro'!Y31+'Planejamento Financeiro'!AB31+'Planejamento Financeiro'!AE31+'Planejamento Financeiro'!AH31+'Planejamento Financeiro'!AK31</f>
        <v>0</v>
      </c>
      <c r="E29" s="135">
        <f t="shared" si="4"/>
        <v>0</v>
      </c>
    </row>
    <row r="30" spans="2:5" s="130" customFormat="1" ht="15.75" hidden="1" outlineLevel="1" x14ac:dyDescent="0.25">
      <c r="B30" s="152" t="s">
        <v>5</v>
      </c>
      <c r="C30" s="83">
        <f>'Planejamento Financeiro'!C32+'Planejamento Financeiro'!F32+'Planejamento Financeiro'!I32+'Planejamento Financeiro'!L32+'Planejamento Financeiro'!O32+'Planejamento Financeiro'!R32+'Planejamento Financeiro'!U32+'Planejamento Financeiro'!X32+'Planejamento Financeiro'!AA32+'Planejamento Financeiro'!AD32+'Planejamento Financeiro'!AG32+'Planejamento Financeiro'!AJ32</f>
        <v>0</v>
      </c>
      <c r="D30" s="83">
        <f>'Planejamento Financeiro'!D32+'Planejamento Financeiro'!G32+'Planejamento Financeiro'!J32+'Planejamento Financeiro'!M32+'Planejamento Financeiro'!P32+'Planejamento Financeiro'!S32+'Planejamento Financeiro'!V32+'Planejamento Financeiro'!Y32+'Planejamento Financeiro'!AB32+'Planejamento Financeiro'!AE32+'Planejamento Financeiro'!AH32+'Planejamento Financeiro'!AK32</f>
        <v>0</v>
      </c>
      <c r="E30" s="135">
        <f t="shared" si="4"/>
        <v>0</v>
      </c>
    </row>
    <row r="31" spans="2:5" s="130" customFormat="1" ht="15.75" hidden="1" outlineLevel="1" x14ac:dyDescent="0.25">
      <c r="B31" s="152" t="s">
        <v>6</v>
      </c>
      <c r="C31" s="83">
        <f>'Planejamento Financeiro'!C33+'Planejamento Financeiro'!F33+'Planejamento Financeiro'!I33+'Planejamento Financeiro'!L33+'Planejamento Financeiro'!O33+'Planejamento Financeiro'!R33+'Planejamento Financeiro'!U33+'Planejamento Financeiro'!X33+'Planejamento Financeiro'!AA33+'Planejamento Financeiro'!AD33+'Planejamento Financeiro'!AG33+'Planejamento Financeiro'!AJ33</f>
        <v>0</v>
      </c>
      <c r="D31" s="83">
        <f>'Planejamento Financeiro'!D33+'Planejamento Financeiro'!G33+'Planejamento Financeiro'!J33+'Planejamento Financeiro'!M33+'Planejamento Financeiro'!P33+'Planejamento Financeiro'!S33+'Planejamento Financeiro'!V33+'Planejamento Financeiro'!Y33+'Planejamento Financeiro'!AB33+'Planejamento Financeiro'!AE33+'Planejamento Financeiro'!AH33+'Planejamento Financeiro'!AK33</f>
        <v>0</v>
      </c>
      <c r="E31" s="135">
        <f t="shared" si="4"/>
        <v>0</v>
      </c>
    </row>
    <row r="32" spans="2:5" s="130" customFormat="1" ht="15.75" hidden="1" outlineLevel="1" x14ac:dyDescent="0.25">
      <c r="B32" s="152" t="s">
        <v>7</v>
      </c>
      <c r="C32" s="83">
        <f>'Planejamento Financeiro'!C34+'Planejamento Financeiro'!F34+'Planejamento Financeiro'!I34+'Planejamento Financeiro'!L34+'Planejamento Financeiro'!O34+'Planejamento Financeiro'!R34+'Planejamento Financeiro'!U34+'Planejamento Financeiro'!X34+'Planejamento Financeiro'!AA34+'Planejamento Financeiro'!AD34+'Planejamento Financeiro'!AG34+'Planejamento Financeiro'!AJ34</f>
        <v>0</v>
      </c>
      <c r="D32" s="83">
        <f>'Planejamento Financeiro'!D34+'Planejamento Financeiro'!G34+'Planejamento Financeiro'!J34+'Planejamento Financeiro'!M34+'Planejamento Financeiro'!P34+'Planejamento Financeiro'!S34+'Planejamento Financeiro'!V34+'Planejamento Financeiro'!Y34+'Planejamento Financeiro'!AB34+'Planejamento Financeiro'!AE34+'Planejamento Financeiro'!AH34+'Planejamento Financeiro'!AK34</f>
        <v>0</v>
      </c>
      <c r="E32" s="135">
        <f t="shared" si="4"/>
        <v>0</v>
      </c>
    </row>
    <row r="33" spans="2:5" s="130" customFormat="1" ht="15.75" hidden="1" outlineLevel="1" x14ac:dyDescent="0.25">
      <c r="B33" s="152" t="s">
        <v>52</v>
      </c>
      <c r="C33" s="83">
        <f>'Planejamento Financeiro'!C35+'Planejamento Financeiro'!F35+'Planejamento Financeiro'!I35+'Planejamento Financeiro'!L35+'Planejamento Financeiro'!O35+'Planejamento Financeiro'!R35+'Planejamento Financeiro'!U35+'Planejamento Financeiro'!X35+'Planejamento Financeiro'!AA35+'Planejamento Financeiro'!AD35+'Planejamento Financeiro'!AG35+'Planejamento Financeiro'!AJ35</f>
        <v>0</v>
      </c>
      <c r="D33" s="83">
        <f>'Planejamento Financeiro'!D35+'Planejamento Financeiro'!G35+'Planejamento Financeiro'!J35+'Planejamento Financeiro'!M35+'Planejamento Financeiro'!P35+'Planejamento Financeiro'!S35+'Planejamento Financeiro'!V35+'Planejamento Financeiro'!Y35+'Planejamento Financeiro'!AB35+'Planejamento Financeiro'!AE35+'Planejamento Financeiro'!AH35+'Planejamento Financeiro'!AK35</f>
        <v>0</v>
      </c>
      <c r="E33" s="135">
        <f t="shared" si="4"/>
        <v>0</v>
      </c>
    </row>
    <row r="34" spans="2:5" s="130" customFormat="1" ht="15.75" hidden="1" outlineLevel="1" x14ac:dyDescent="0.25">
      <c r="B34" s="85"/>
      <c r="C34" s="83">
        <f>'Planejamento Financeiro'!C36+'Planejamento Financeiro'!F36+'Planejamento Financeiro'!I36+'Planejamento Financeiro'!L36+'Planejamento Financeiro'!O36+'Planejamento Financeiro'!R36+'Planejamento Financeiro'!U36+'Planejamento Financeiro'!X36+'Planejamento Financeiro'!AA36+'Planejamento Financeiro'!AD36+'Planejamento Financeiro'!AG36+'Planejamento Financeiro'!AJ36</f>
        <v>0</v>
      </c>
      <c r="D34" s="83">
        <f>'Planejamento Financeiro'!D36+'Planejamento Financeiro'!G36+'Planejamento Financeiro'!J36+'Planejamento Financeiro'!M36+'Planejamento Financeiro'!P36+'Planejamento Financeiro'!S36+'Planejamento Financeiro'!V36+'Planejamento Financeiro'!Y36+'Planejamento Financeiro'!AB36+'Planejamento Financeiro'!AE36+'Planejamento Financeiro'!AH36+'Planejamento Financeiro'!AK36</f>
        <v>0</v>
      </c>
      <c r="E34" s="135">
        <f t="shared" si="4"/>
        <v>0</v>
      </c>
    </row>
    <row r="35" spans="2:5" s="130" customFormat="1" ht="15.75" hidden="1" outlineLevel="1" x14ac:dyDescent="0.25">
      <c r="B35" s="85"/>
      <c r="C35" s="83">
        <f>'Planejamento Financeiro'!C37+'Planejamento Financeiro'!F37+'Planejamento Financeiro'!I37+'Planejamento Financeiro'!L37+'Planejamento Financeiro'!O37+'Planejamento Financeiro'!R37+'Planejamento Financeiro'!U37+'Planejamento Financeiro'!X37+'Planejamento Financeiro'!AA37+'Planejamento Financeiro'!AD37+'Planejamento Financeiro'!AG37+'Planejamento Financeiro'!AJ37</f>
        <v>0</v>
      </c>
      <c r="D35" s="83">
        <f>'Planejamento Financeiro'!D37+'Planejamento Financeiro'!G37+'Planejamento Financeiro'!J37+'Planejamento Financeiro'!M37+'Planejamento Financeiro'!P37+'Planejamento Financeiro'!S37+'Planejamento Financeiro'!V37+'Planejamento Financeiro'!Y37+'Planejamento Financeiro'!AB37+'Planejamento Financeiro'!AE37+'Planejamento Financeiro'!AH37+'Planejamento Financeiro'!AK37</f>
        <v>0</v>
      </c>
      <c r="E35" s="135">
        <f t="shared" si="4"/>
        <v>0</v>
      </c>
    </row>
    <row r="36" spans="2:5" s="130" customFormat="1" ht="15.75" hidden="1" outlineLevel="1" x14ac:dyDescent="0.25">
      <c r="B36" s="85"/>
      <c r="C36" s="83">
        <f>'Planejamento Financeiro'!C38+'Planejamento Financeiro'!F38+'Planejamento Financeiro'!I38+'Planejamento Financeiro'!L38+'Planejamento Financeiro'!O38+'Planejamento Financeiro'!R38+'Planejamento Financeiro'!U38+'Planejamento Financeiro'!X38+'Planejamento Financeiro'!AA38+'Planejamento Financeiro'!AD38+'Planejamento Financeiro'!AG38+'Planejamento Financeiro'!AJ38</f>
        <v>0</v>
      </c>
      <c r="D36" s="83">
        <f>'Planejamento Financeiro'!D38+'Planejamento Financeiro'!G38+'Planejamento Financeiro'!J38+'Planejamento Financeiro'!M38+'Planejamento Financeiro'!P38+'Planejamento Financeiro'!S38+'Planejamento Financeiro'!V38+'Planejamento Financeiro'!Y38+'Planejamento Financeiro'!AB38+'Planejamento Financeiro'!AE38+'Planejamento Financeiro'!AH38+'Planejamento Financeiro'!AK38</f>
        <v>0</v>
      </c>
      <c r="E36" s="135">
        <f t="shared" si="4"/>
        <v>0</v>
      </c>
    </row>
    <row r="37" spans="2:5" s="130" customFormat="1" ht="15.75" collapsed="1" x14ac:dyDescent="0.25">
      <c r="B37" s="153" t="s">
        <v>8</v>
      </c>
      <c r="C37" s="137">
        <f>SUM(C38:C47)</f>
        <v>0</v>
      </c>
      <c r="D37" s="137">
        <f t="shared" ref="D37:E37" si="5">SUM(D38:D47)</f>
        <v>0</v>
      </c>
      <c r="E37" s="138">
        <f t="shared" si="5"/>
        <v>0</v>
      </c>
    </row>
    <row r="38" spans="2:5" s="130" customFormat="1" ht="15.75" hidden="1" outlineLevel="1" x14ac:dyDescent="0.25">
      <c r="B38" s="152" t="s">
        <v>9</v>
      </c>
      <c r="C38" s="83">
        <f>'Planejamento Financeiro'!C40+'Planejamento Financeiro'!F40+'Planejamento Financeiro'!I40+'Planejamento Financeiro'!L40+'Planejamento Financeiro'!O40+'Planejamento Financeiro'!R40+'Planejamento Financeiro'!U40+'Planejamento Financeiro'!X40+'Planejamento Financeiro'!AA40+'Planejamento Financeiro'!AD40+'Planejamento Financeiro'!AG40+'Planejamento Financeiro'!AJ40</f>
        <v>0</v>
      </c>
      <c r="D38" s="83">
        <f>'Planejamento Financeiro'!D40+'Planejamento Financeiro'!G40+'Planejamento Financeiro'!J40+'Planejamento Financeiro'!M40+'Planejamento Financeiro'!P40+'Planejamento Financeiro'!S40+'Planejamento Financeiro'!V40+'Planejamento Financeiro'!Y40+'Planejamento Financeiro'!AB40+'Planejamento Financeiro'!AE40+'Planejamento Financeiro'!AH40+'Planejamento Financeiro'!AK40</f>
        <v>0</v>
      </c>
      <c r="E38" s="138">
        <f t="shared" ref="E38:E47" si="6">C38-D38</f>
        <v>0</v>
      </c>
    </row>
    <row r="39" spans="2:5" s="130" customFormat="1" ht="15.75" hidden="1" outlineLevel="1" x14ac:dyDescent="0.25">
      <c r="B39" s="152" t="s">
        <v>10</v>
      </c>
      <c r="C39" s="83">
        <f>'Planejamento Financeiro'!C41+'Planejamento Financeiro'!F41+'Planejamento Financeiro'!I41+'Planejamento Financeiro'!L41+'Planejamento Financeiro'!O41+'Planejamento Financeiro'!R41+'Planejamento Financeiro'!U41+'Planejamento Financeiro'!X41+'Planejamento Financeiro'!AA41+'Planejamento Financeiro'!AD41+'Planejamento Financeiro'!AG41+'Planejamento Financeiro'!AJ41</f>
        <v>0</v>
      </c>
      <c r="D39" s="83">
        <f>'Planejamento Financeiro'!D41+'Planejamento Financeiro'!G41+'Planejamento Financeiro'!J41+'Planejamento Financeiro'!M41+'Planejamento Financeiro'!P41+'Planejamento Financeiro'!S41+'Planejamento Financeiro'!V41+'Planejamento Financeiro'!Y41+'Planejamento Financeiro'!AB41+'Planejamento Financeiro'!AE41+'Planejamento Financeiro'!AH41+'Planejamento Financeiro'!AK41</f>
        <v>0</v>
      </c>
      <c r="E39" s="138">
        <f t="shared" si="6"/>
        <v>0</v>
      </c>
    </row>
    <row r="40" spans="2:5" s="130" customFormat="1" ht="15.75" hidden="1" outlineLevel="1" x14ac:dyDescent="0.25">
      <c r="B40" s="152" t="s">
        <v>11</v>
      </c>
      <c r="C40" s="83">
        <f>'Planejamento Financeiro'!C42+'Planejamento Financeiro'!F42+'Planejamento Financeiro'!I42+'Planejamento Financeiro'!L42+'Planejamento Financeiro'!O42+'Planejamento Financeiro'!R42+'Planejamento Financeiro'!U42+'Planejamento Financeiro'!X42+'Planejamento Financeiro'!AA42+'Planejamento Financeiro'!AD42+'Planejamento Financeiro'!AG42+'Planejamento Financeiro'!AJ42</f>
        <v>0</v>
      </c>
      <c r="D40" s="83">
        <f>'Planejamento Financeiro'!D42+'Planejamento Financeiro'!G42+'Planejamento Financeiro'!J42+'Planejamento Financeiro'!M42+'Planejamento Financeiro'!P42+'Planejamento Financeiro'!S42+'Planejamento Financeiro'!V42+'Planejamento Financeiro'!Y42+'Planejamento Financeiro'!AB42+'Planejamento Financeiro'!AE42+'Planejamento Financeiro'!AH42+'Planejamento Financeiro'!AK42</f>
        <v>0</v>
      </c>
      <c r="E40" s="138">
        <f t="shared" si="6"/>
        <v>0</v>
      </c>
    </row>
    <row r="41" spans="2:5" s="130" customFormat="1" ht="15.75" hidden="1" outlineLevel="1" x14ac:dyDescent="0.25">
      <c r="B41" s="152" t="s">
        <v>12</v>
      </c>
      <c r="C41" s="83">
        <f>'Planejamento Financeiro'!C43+'Planejamento Financeiro'!F43+'Planejamento Financeiro'!I43+'Planejamento Financeiro'!L43+'Planejamento Financeiro'!O43+'Planejamento Financeiro'!R43+'Planejamento Financeiro'!U43+'Planejamento Financeiro'!X43+'Planejamento Financeiro'!AA43+'Planejamento Financeiro'!AD43+'Planejamento Financeiro'!AG43+'Planejamento Financeiro'!AJ43</f>
        <v>0</v>
      </c>
      <c r="D41" s="83">
        <f>'Planejamento Financeiro'!D43+'Planejamento Financeiro'!G43+'Planejamento Financeiro'!J43+'Planejamento Financeiro'!M43+'Planejamento Financeiro'!P43+'Planejamento Financeiro'!S43+'Planejamento Financeiro'!V43+'Planejamento Financeiro'!Y43+'Planejamento Financeiro'!AB43+'Planejamento Financeiro'!AE43+'Planejamento Financeiro'!AH43+'Planejamento Financeiro'!AK43</f>
        <v>0</v>
      </c>
      <c r="E41" s="138">
        <f t="shared" si="6"/>
        <v>0</v>
      </c>
    </row>
    <row r="42" spans="2:5" s="130" customFormat="1" ht="15.75" hidden="1" outlineLevel="1" x14ac:dyDescent="0.25">
      <c r="B42" s="152" t="s">
        <v>13</v>
      </c>
      <c r="C42" s="83">
        <f>'Planejamento Financeiro'!C44+'Planejamento Financeiro'!F44+'Planejamento Financeiro'!I44+'Planejamento Financeiro'!L44+'Planejamento Financeiro'!O44+'Planejamento Financeiro'!R44+'Planejamento Financeiro'!U44+'Planejamento Financeiro'!X44+'Planejamento Financeiro'!AA44+'Planejamento Financeiro'!AD44+'Planejamento Financeiro'!AG44+'Planejamento Financeiro'!AJ44</f>
        <v>0</v>
      </c>
      <c r="D42" s="83">
        <f>'Planejamento Financeiro'!D44+'Planejamento Financeiro'!G44+'Planejamento Financeiro'!J44+'Planejamento Financeiro'!M44+'Planejamento Financeiro'!P44+'Planejamento Financeiro'!S44+'Planejamento Financeiro'!V44+'Planejamento Financeiro'!Y44+'Planejamento Financeiro'!AB44+'Planejamento Financeiro'!AE44+'Planejamento Financeiro'!AH44+'Planejamento Financeiro'!AK44</f>
        <v>0</v>
      </c>
      <c r="E42" s="138">
        <f t="shared" si="6"/>
        <v>0</v>
      </c>
    </row>
    <row r="43" spans="2:5" s="130" customFormat="1" ht="15.75" hidden="1" outlineLevel="1" x14ac:dyDescent="0.25">
      <c r="B43" s="152" t="s">
        <v>14</v>
      </c>
      <c r="C43" s="83">
        <f>'Planejamento Financeiro'!C45+'Planejamento Financeiro'!F45+'Planejamento Financeiro'!I45+'Planejamento Financeiro'!L45+'Planejamento Financeiro'!O45+'Planejamento Financeiro'!R45+'Planejamento Financeiro'!U45+'Planejamento Financeiro'!X45+'Planejamento Financeiro'!AA45+'Planejamento Financeiro'!AD45+'Planejamento Financeiro'!AG45+'Planejamento Financeiro'!AJ45</f>
        <v>0</v>
      </c>
      <c r="D43" s="83">
        <f>'Planejamento Financeiro'!D45+'Planejamento Financeiro'!G45+'Planejamento Financeiro'!J45+'Planejamento Financeiro'!M45+'Planejamento Financeiro'!P45+'Planejamento Financeiro'!S45+'Planejamento Financeiro'!V45+'Planejamento Financeiro'!Y45+'Planejamento Financeiro'!AB45+'Planejamento Financeiro'!AE45+'Planejamento Financeiro'!AH45+'Planejamento Financeiro'!AK45</f>
        <v>0</v>
      </c>
      <c r="E43" s="138">
        <f t="shared" si="6"/>
        <v>0</v>
      </c>
    </row>
    <row r="44" spans="2:5" s="130" customFormat="1" ht="15.75" hidden="1" outlineLevel="1" x14ac:dyDescent="0.25">
      <c r="B44" s="152" t="s">
        <v>53</v>
      </c>
      <c r="C44" s="83">
        <f>'Planejamento Financeiro'!C46+'Planejamento Financeiro'!F46+'Planejamento Financeiro'!I46+'Planejamento Financeiro'!L46+'Planejamento Financeiro'!O46+'Planejamento Financeiro'!R46+'Planejamento Financeiro'!U46+'Planejamento Financeiro'!X46+'Planejamento Financeiro'!AA46+'Planejamento Financeiro'!AD46+'Planejamento Financeiro'!AG46+'Planejamento Financeiro'!AJ46</f>
        <v>0</v>
      </c>
      <c r="D44" s="83">
        <f>'Planejamento Financeiro'!D46+'Planejamento Financeiro'!G46+'Planejamento Financeiro'!J46+'Planejamento Financeiro'!M46+'Planejamento Financeiro'!P46+'Planejamento Financeiro'!S46+'Planejamento Financeiro'!V46+'Planejamento Financeiro'!Y46+'Planejamento Financeiro'!AB46+'Planejamento Financeiro'!AE46+'Planejamento Financeiro'!AH46+'Planejamento Financeiro'!AK46</f>
        <v>0</v>
      </c>
      <c r="E44" s="138">
        <f t="shared" si="6"/>
        <v>0</v>
      </c>
    </row>
    <row r="45" spans="2:5" s="130" customFormat="1" ht="15.75" hidden="1" outlineLevel="1" x14ac:dyDescent="0.25">
      <c r="B45" s="85"/>
      <c r="C45" s="83">
        <f>'Planejamento Financeiro'!C47+'Planejamento Financeiro'!F47+'Planejamento Financeiro'!I47+'Planejamento Financeiro'!L47+'Planejamento Financeiro'!O47+'Planejamento Financeiro'!R47+'Planejamento Financeiro'!U47+'Planejamento Financeiro'!X47+'Planejamento Financeiro'!AA47+'Planejamento Financeiro'!AD47+'Planejamento Financeiro'!AG47+'Planejamento Financeiro'!AJ47</f>
        <v>0</v>
      </c>
      <c r="D45" s="83">
        <f>'Planejamento Financeiro'!D47+'Planejamento Financeiro'!G47+'Planejamento Financeiro'!J47+'Planejamento Financeiro'!M47+'Planejamento Financeiro'!P47+'Planejamento Financeiro'!S47+'Planejamento Financeiro'!V47+'Planejamento Financeiro'!Y47+'Planejamento Financeiro'!AB47+'Planejamento Financeiro'!AE47+'Planejamento Financeiro'!AH47+'Planejamento Financeiro'!AK47</f>
        <v>0</v>
      </c>
      <c r="E45" s="138">
        <f t="shared" si="6"/>
        <v>0</v>
      </c>
    </row>
    <row r="46" spans="2:5" s="130" customFormat="1" ht="15.75" hidden="1" outlineLevel="1" x14ac:dyDescent="0.25">
      <c r="B46" s="85"/>
      <c r="C46" s="83">
        <f>'Planejamento Financeiro'!C48+'Planejamento Financeiro'!F48+'Planejamento Financeiro'!I48+'Planejamento Financeiro'!L48+'Planejamento Financeiro'!O48+'Planejamento Financeiro'!R48+'Planejamento Financeiro'!U48+'Planejamento Financeiro'!X48+'Planejamento Financeiro'!AA48+'Planejamento Financeiro'!AD48+'Planejamento Financeiro'!AG48+'Planejamento Financeiro'!AJ48</f>
        <v>0</v>
      </c>
      <c r="D46" s="83">
        <f>'Planejamento Financeiro'!D48+'Planejamento Financeiro'!G48+'Planejamento Financeiro'!J48+'Planejamento Financeiro'!M48+'Planejamento Financeiro'!P48+'Planejamento Financeiro'!S48+'Planejamento Financeiro'!V48+'Planejamento Financeiro'!Y48+'Planejamento Financeiro'!AB48+'Planejamento Financeiro'!AE48+'Planejamento Financeiro'!AH48+'Planejamento Financeiro'!AK48</f>
        <v>0</v>
      </c>
      <c r="E46" s="138">
        <f t="shared" si="6"/>
        <v>0</v>
      </c>
    </row>
    <row r="47" spans="2:5" s="130" customFormat="1" ht="15.75" hidden="1" outlineLevel="1" x14ac:dyDescent="0.25">
      <c r="B47" s="85"/>
      <c r="C47" s="83">
        <f>'Planejamento Financeiro'!C49+'Planejamento Financeiro'!F49+'Planejamento Financeiro'!I49+'Planejamento Financeiro'!L49+'Planejamento Financeiro'!O49+'Planejamento Financeiro'!R49+'Planejamento Financeiro'!U49+'Planejamento Financeiro'!X49+'Planejamento Financeiro'!AA49+'Planejamento Financeiro'!AD49+'Planejamento Financeiro'!AG49+'Planejamento Financeiro'!AJ49</f>
        <v>0</v>
      </c>
      <c r="D47" s="83">
        <f>'Planejamento Financeiro'!D49+'Planejamento Financeiro'!G49+'Planejamento Financeiro'!J49+'Planejamento Financeiro'!M49+'Planejamento Financeiro'!P49+'Planejamento Financeiro'!S49+'Planejamento Financeiro'!V49+'Planejamento Financeiro'!Y49+'Planejamento Financeiro'!AB49+'Planejamento Financeiro'!AE49+'Planejamento Financeiro'!AH49+'Planejamento Financeiro'!AK49</f>
        <v>0</v>
      </c>
      <c r="E47" s="138">
        <f t="shared" si="6"/>
        <v>0</v>
      </c>
    </row>
    <row r="48" spans="2:5" s="130" customFormat="1" ht="15.75" collapsed="1" x14ac:dyDescent="0.25">
      <c r="B48" s="153" t="s">
        <v>41</v>
      </c>
      <c r="C48" s="154">
        <f>SUM(C49:C58)</f>
        <v>0</v>
      </c>
      <c r="D48" s="154">
        <f t="shared" ref="D48" si="7">SUM(D49:D58)</f>
        <v>0</v>
      </c>
      <c r="E48" s="156">
        <f>SUM(E49:E58)</f>
        <v>0</v>
      </c>
    </row>
    <row r="49" spans="2:5" s="130" customFormat="1" ht="15.75" hidden="1" outlineLevel="1" x14ac:dyDescent="0.25">
      <c r="B49" s="157" t="s">
        <v>35</v>
      </c>
      <c r="C49" s="83">
        <f>'Planejamento Financeiro'!C51+'Planejamento Financeiro'!F51+'Planejamento Financeiro'!I51+'Planejamento Financeiro'!L51+'Planejamento Financeiro'!O51+'Planejamento Financeiro'!R51+'Planejamento Financeiro'!U51+'Planejamento Financeiro'!X51+'Planejamento Financeiro'!AA51+'Planejamento Financeiro'!AD51+'Planejamento Financeiro'!AG51+'Planejamento Financeiro'!AJ51</f>
        <v>0</v>
      </c>
      <c r="D49" s="83">
        <f>'Planejamento Financeiro'!D51+'Planejamento Financeiro'!G51+'Planejamento Financeiro'!J51+'Planejamento Financeiro'!M51+'Planejamento Financeiro'!P51+'Planejamento Financeiro'!S51+'Planejamento Financeiro'!V51+'Planejamento Financeiro'!Y51+'Planejamento Financeiro'!AB51+'Planejamento Financeiro'!AE51+'Planejamento Financeiro'!AH51+'Planejamento Financeiro'!AK51</f>
        <v>0</v>
      </c>
      <c r="E49" s="156">
        <f t="shared" ref="E49:E58" si="8">C49-D49</f>
        <v>0</v>
      </c>
    </row>
    <row r="50" spans="2:5" s="130" customFormat="1" ht="15.75" hidden="1" outlineLevel="1" x14ac:dyDescent="0.25">
      <c r="B50" s="157" t="s">
        <v>15</v>
      </c>
      <c r="C50" s="83">
        <f>'Planejamento Financeiro'!C52+'Planejamento Financeiro'!F52+'Planejamento Financeiro'!I52+'Planejamento Financeiro'!L52+'Planejamento Financeiro'!O52+'Planejamento Financeiro'!R52+'Planejamento Financeiro'!U52+'Planejamento Financeiro'!X52+'Planejamento Financeiro'!AA52+'Planejamento Financeiro'!AD52+'Planejamento Financeiro'!AG52+'Planejamento Financeiro'!AJ52</f>
        <v>0</v>
      </c>
      <c r="D50" s="83">
        <f>'Planejamento Financeiro'!D52+'Planejamento Financeiro'!G52+'Planejamento Financeiro'!J52+'Planejamento Financeiro'!M52+'Planejamento Financeiro'!P52+'Planejamento Financeiro'!S52+'Planejamento Financeiro'!V52+'Planejamento Financeiro'!Y52+'Planejamento Financeiro'!AB52+'Planejamento Financeiro'!AE52+'Planejamento Financeiro'!AH52+'Planejamento Financeiro'!AK52</f>
        <v>0</v>
      </c>
      <c r="E50" s="156">
        <f t="shared" si="8"/>
        <v>0</v>
      </c>
    </row>
    <row r="51" spans="2:5" s="130" customFormat="1" ht="15.75" hidden="1" outlineLevel="1" x14ac:dyDescent="0.25">
      <c r="B51" s="157" t="s">
        <v>37</v>
      </c>
      <c r="C51" s="83">
        <f>'Planejamento Financeiro'!C53+'Planejamento Financeiro'!F53+'Planejamento Financeiro'!I53+'Planejamento Financeiro'!L53+'Planejamento Financeiro'!O53+'Planejamento Financeiro'!R53+'Planejamento Financeiro'!U53+'Planejamento Financeiro'!X53+'Planejamento Financeiro'!AA53+'Planejamento Financeiro'!AD53+'Planejamento Financeiro'!AG53+'Planejamento Financeiro'!AJ53</f>
        <v>0</v>
      </c>
      <c r="D51" s="83">
        <f>'Planejamento Financeiro'!D53+'Planejamento Financeiro'!G53+'Planejamento Financeiro'!J53+'Planejamento Financeiro'!M53+'Planejamento Financeiro'!P53+'Planejamento Financeiro'!S53+'Planejamento Financeiro'!V53+'Planejamento Financeiro'!Y53+'Planejamento Financeiro'!AB53+'Planejamento Financeiro'!AE53+'Planejamento Financeiro'!AH53+'Planejamento Financeiro'!AK53</f>
        <v>0</v>
      </c>
      <c r="E51" s="156">
        <f t="shared" si="8"/>
        <v>0</v>
      </c>
    </row>
    <row r="52" spans="2:5" s="130" customFormat="1" ht="15.75" hidden="1" outlineLevel="1" x14ac:dyDescent="0.25">
      <c r="B52" s="157" t="s">
        <v>36</v>
      </c>
      <c r="C52" s="83">
        <f>'Planejamento Financeiro'!C54+'Planejamento Financeiro'!F54+'Planejamento Financeiro'!I54+'Planejamento Financeiro'!L54+'Planejamento Financeiro'!O54+'Planejamento Financeiro'!R54+'Planejamento Financeiro'!U54+'Planejamento Financeiro'!X54+'Planejamento Financeiro'!AA54+'Planejamento Financeiro'!AD54+'Planejamento Financeiro'!AG54+'Planejamento Financeiro'!AJ54</f>
        <v>0</v>
      </c>
      <c r="D52" s="83">
        <f>'Planejamento Financeiro'!D54+'Planejamento Financeiro'!G54+'Planejamento Financeiro'!J54+'Planejamento Financeiro'!M54+'Planejamento Financeiro'!P54+'Planejamento Financeiro'!S54+'Planejamento Financeiro'!V54+'Planejamento Financeiro'!Y54+'Planejamento Financeiro'!AB54+'Planejamento Financeiro'!AE54+'Planejamento Financeiro'!AH54+'Planejamento Financeiro'!AK54</f>
        <v>0</v>
      </c>
      <c r="E52" s="156">
        <f t="shared" si="8"/>
        <v>0</v>
      </c>
    </row>
    <row r="53" spans="2:5" s="130" customFormat="1" ht="15.75" hidden="1" outlineLevel="1" x14ac:dyDescent="0.25">
      <c r="B53" s="157" t="s">
        <v>16</v>
      </c>
      <c r="C53" s="83">
        <f>'Planejamento Financeiro'!C55+'Planejamento Financeiro'!F55+'Planejamento Financeiro'!I55+'Planejamento Financeiro'!L55+'Planejamento Financeiro'!O55+'Planejamento Financeiro'!R55+'Planejamento Financeiro'!U55+'Planejamento Financeiro'!X55+'Planejamento Financeiro'!AA55+'Planejamento Financeiro'!AD55+'Planejamento Financeiro'!AG55+'Planejamento Financeiro'!AJ55</f>
        <v>0</v>
      </c>
      <c r="D53" s="83">
        <f>'Planejamento Financeiro'!D55+'Planejamento Financeiro'!G55+'Planejamento Financeiro'!J55+'Planejamento Financeiro'!M55+'Planejamento Financeiro'!P55+'Planejamento Financeiro'!S55+'Planejamento Financeiro'!V55+'Planejamento Financeiro'!Y55+'Planejamento Financeiro'!AB55+'Planejamento Financeiro'!AE55+'Planejamento Financeiro'!AH55+'Planejamento Financeiro'!AK55</f>
        <v>0</v>
      </c>
      <c r="E53" s="156">
        <f t="shared" si="8"/>
        <v>0</v>
      </c>
    </row>
    <row r="54" spans="2:5" s="130" customFormat="1" ht="15.75" hidden="1" outlineLevel="1" x14ac:dyDescent="0.25">
      <c r="B54" s="157" t="s">
        <v>38</v>
      </c>
      <c r="C54" s="83">
        <f>'Planejamento Financeiro'!C56+'Planejamento Financeiro'!F56+'Planejamento Financeiro'!I56+'Planejamento Financeiro'!L56+'Planejamento Financeiro'!O56+'Planejamento Financeiro'!R56+'Planejamento Financeiro'!U56+'Planejamento Financeiro'!X56+'Planejamento Financeiro'!AA56+'Planejamento Financeiro'!AD56+'Planejamento Financeiro'!AG56+'Planejamento Financeiro'!AJ56</f>
        <v>0</v>
      </c>
      <c r="D54" s="83">
        <f>'Planejamento Financeiro'!D56+'Planejamento Financeiro'!G56+'Planejamento Financeiro'!J56+'Planejamento Financeiro'!M56+'Planejamento Financeiro'!P56+'Planejamento Financeiro'!S56+'Planejamento Financeiro'!V56+'Planejamento Financeiro'!Y56+'Planejamento Financeiro'!AB56+'Planejamento Financeiro'!AE56+'Planejamento Financeiro'!AH56+'Planejamento Financeiro'!AK56</f>
        <v>0</v>
      </c>
      <c r="E54" s="156">
        <f t="shared" si="8"/>
        <v>0</v>
      </c>
    </row>
    <row r="55" spans="2:5" s="130" customFormat="1" ht="15.75" hidden="1" outlineLevel="1" x14ac:dyDescent="0.25">
      <c r="B55" s="157" t="s">
        <v>39</v>
      </c>
      <c r="C55" s="83">
        <f>'Planejamento Financeiro'!C57+'Planejamento Financeiro'!F57+'Planejamento Financeiro'!I57+'Planejamento Financeiro'!L57+'Planejamento Financeiro'!O57+'Planejamento Financeiro'!R57+'Planejamento Financeiro'!U57+'Planejamento Financeiro'!X57+'Planejamento Financeiro'!AA57+'Planejamento Financeiro'!AD57+'Planejamento Financeiro'!AG57+'Planejamento Financeiro'!AJ57</f>
        <v>0</v>
      </c>
      <c r="D55" s="83">
        <f>'Planejamento Financeiro'!D57+'Planejamento Financeiro'!G57+'Planejamento Financeiro'!J57+'Planejamento Financeiro'!M57+'Planejamento Financeiro'!P57+'Planejamento Financeiro'!S57+'Planejamento Financeiro'!V57+'Planejamento Financeiro'!Y57+'Planejamento Financeiro'!AB57+'Planejamento Financeiro'!AE57+'Planejamento Financeiro'!AH57+'Planejamento Financeiro'!AK57</f>
        <v>0</v>
      </c>
      <c r="E55" s="156">
        <f t="shared" si="8"/>
        <v>0</v>
      </c>
    </row>
    <row r="56" spans="2:5" s="130" customFormat="1" ht="15.75" hidden="1" outlineLevel="1" x14ac:dyDescent="0.25">
      <c r="B56" s="85"/>
      <c r="C56" s="83">
        <f>'Planejamento Financeiro'!C58+'Planejamento Financeiro'!F58+'Planejamento Financeiro'!I58+'Planejamento Financeiro'!L58+'Planejamento Financeiro'!O58+'Planejamento Financeiro'!R58+'Planejamento Financeiro'!U58+'Planejamento Financeiro'!X58+'Planejamento Financeiro'!AA58+'Planejamento Financeiro'!AD58+'Planejamento Financeiro'!AG58+'Planejamento Financeiro'!AJ58</f>
        <v>0</v>
      </c>
      <c r="D56" s="83">
        <f>'Planejamento Financeiro'!D58+'Planejamento Financeiro'!G58+'Planejamento Financeiro'!J58+'Planejamento Financeiro'!M58+'Planejamento Financeiro'!P58+'Planejamento Financeiro'!S58+'Planejamento Financeiro'!V58+'Planejamento Financeiro'!Y58+'Planejamento Financeiro'!AB58+'Planejamento Financeiro'!AE58+'Planejamento Financeiro'!AH58+'Planejamento Financeiro'!AK58</f>
        <v>0</v>
      </c>
      <c r="E56" s="156">
        <f t="shared" si="8"/>
        <v>0</v>
      </c>
    </row>
    <row r="57" spans="2:5" s="130" customFormat="1" ht="15.75" hidden="1" outlineLevel="1" x14ac:dyDescent="0.25">
      <c r="B57" s="85"/>
      <c r="C57" s="83">
        <f>'Planejamento Financeiro'!C59+'Planejamento Financeiro'!F59+'Planejamento Financeiro'!I59+'Planejamento Financeiro'!L59+'Planejamento Financeiro'!O59+'Planejamento Financeiro'!R59+'Planejamento Financeiro'!U59+'Planejamento Financeiro'!X59+'Planejamento Financeiro'!AA59+'Planejamento Financeiro'!AD59+'Planejamento Financeiro'!AG59+'Planejamento Financeiro'!AJ59</f>
        <v>0</v>
      </c>
      <c r="D57" s="83">
        <f>'Planejamento Financeiro'!D59+'Planejamento Financeiro'!G59+'Planejamento Financeiro'!J59+'Planejamento Financeiro'!M59+'Planejamento Financeiro'!P59+'Planejamento Financeiro'!S59+'Planejamento Financeiro'!V59+'Planejamento Financeiro'!Y59+'Planejamento Financeiro'!AB59+'Planejamento Financeiro'!AE59+'Planejamento Financeiro'!AH59+'Planejamento Financeiro'!AK59</f>
        <v>0</v>
      </c>
      <c r="E57" s="156">
        <f t="shared" si="8"/>
        <v>0</v>
      </c>
    </row>
    <row r="58" spans="2:5" s="130" customFormat="1" ht="15.75" hidden="1" outlineLevel="1" x14ac:dyDescent="0.25">
      <c r="B58" s="85"/>
      <c r="C58" s="83">
        <f>'Planejamento Financeiro'!C60+'Planejamento Financeiro'!F60+'Planejamento Financeiro'!I60+'Planejamento Financeiro'!L60+'Planejamento Financeiro'!O60+'Planejamento Financeiro'!R60+'Planejamento Financeiro'!U60+'Planejamento Financeiro'!X60+'Planejamento Financeiro'!AA60+'Planejamento Financeiro'!AD60+'Planejamento Financeiro'!AG60+'Planejamento Financeiro'!AJ60</f>
        <v>0</v>
      </c>
      <c r="D58" s="83">
        <f>'Planejamento Financeiro'!D60+'Planejamento Financeiro'!G60+'Planejamento Financeiro'!J60+'Planejamento Financeiro'!M60+'Planejamento Financeiro'!P60+'Planejamento Financeiro'!S60+'Planejamento Financeiro'!V60+'Planejamento Financeiro'!Y60+'Planejamento Financeiro'!AB60+'Planejamento Financeiro'!AE60+'Planejamento Financeiro'!AH60+'Planejamento Financeiro'!AK60</f>
        <v>0</v>
      </c>
      <c r="E58" s="156">
        <f t="shared" si="8"/>
        <v>0</v>
      </c>
    </row>
    <row r="59" spans="2:5" s="130" customFormat="1" ht="15.75" collapsed="1" x14ac:dyDescent="0.25">
      <c r="B59" s="158" t="s">
        <v>17</v>
      </c>
      <c r="C59" s="154">
        <f>SUM(C60:C67)</f>
        <v>0</v>
      </c>
      <c r="D59" s="154">
        <f t="shared" ref="D59:E59" si="9">SUM(D60:D67)</f>
        <v>0</v>
      </c>
      <c r="E59" s="156">
        <f t="shared" si="9"/>
        <v>0</v>
      </c>
    </row>
    <row r="60" spans="2:5" s="130" customFormat="1" ht="15.75" hidden="1" outlineLevel="1" x14ac:dyDescent="0.25">
      <c r="B60" s="157" t="s">
        <v>18</v>
      </c>
      <c r="C60" s="83">
        <f>'Planejamento Financeiro'!C62+'Planejamento Financeiro'!F62+'Planejamento Financeiro'!I62+'Planejamento Financeiro'!L62+'Planejamento Financeiro'!O62+'Planejamento Financeiro'!R62+'Planejamento Financeiro'!U62+'Planejamento Financeiro'!X62+'Planejamento Financeiro'!AA62+'Planejamento Financeiro'!AD62+'Planejamento Financeiro'!AG62+'Planejamento Financeiro'!AJ62</f>
        <v>0</v>
      </c>
      <c r="D60" s="83">
        <f>'Planejamento Financeiro'!D62+'Planejamento Financeiro'!G62+'Planejamento Financeiro'!J62+'Planejamento Financeiro'!M62+'Planejamento Financeiro'!P62+'Planejamento Financeiro'!S62+'Planejamento Financeiro'!V62+'Planejamento Financeiro'!Y62+'Planejamento Financeiro'!AB62+'Planejamento Financeiro'!AE62+'Planejamento Financeiro'!AH62+'Planejamento Financeiro'!AK62</f>
        <v>0</v>
      </c>
      <c r="E60" s="156">
        <f t="shared" ref="E60:E91" si="10">C60-D60</f>
        <v>0</v>
      </c>
    </row>
    <row r="61" spans="2:5" s="130" customFormat="1" ht="15.75" hidden="1" outlineLevel="1" x14ac:dyDescent="0.25">
      <c r="B61" s="157" t="s">
        <v>40</v>
      </c>
      <c r="C61" s="83">
        <f>'Planejamento Financeiro'!C63+'Planejamento Financeiro'!F63+'Planejamento Financeiro'!I63+'Planejamento Financeiro'!L63+'Planejamento Financeiro'!O63+'Planejamento Financeiro'!R63+'Planejamento Financeiro'!U63+'Planejamento Financeiro'!X63+'Planejamento Financeiro'!AA63+'Planejamento Financeiro'!AD63+'Planejamento Financeiro'!AG63+'Planejamento Financeiro'!AJ63</f>
        <v>0</v>
      </c>
      <c r="D61" s="83">
        <f>'Planejamento Financeiro'!D63+'Planejamento Financeiro'!G63+'Planejamento Financeiro'!J63+'Planejamento Financeiro'!M63+'Planejamento Financeiro'!P63+'Planejamento Financeiro'!S63+'Planejamento Financeiro'!V63+'Planejamento Financeiro'!Y63+'Planejamento Financeiro'!AB63+'Planejamento Financeiro'!AE63+'Planejamento Financeiro'!AH63+'Planejamento Financeiro'!AK63</f>
        <v>0</v>
      </c>
      <c r="E61" s="156">
        <f t="shared" si="10"/>
        <v>0</v>
      </c>
    </row>
    <row r="62" spans="2:5" s="130" customFormat="1" ht="15.75" hidden="1" outlineLevel="1" x14ac:dyDescent="0.25">
      <c r="B62" s="157" t="s">
        <v>19</v>
      </c>
      <c r="C62" s="83">
        <f>'Planejamento Financeiro'!C64+'Planejamento Financeiro'!F64+'Planejamento Financeiro'!I64+'Planejamento Financeiro'!L64+'Planejamento Financeiro'!O64+'Planejamento Financeiro'!R64+'Planejamento Financeiro'!U64+'Planejamento Financeiro'!X64+'Planejamento Financeiro'!AA64+'Planejamento Financeiro'!AD64+'Planejamento Financeiro'!AG64+'Planejamento Financeiro'!AJ64</f>
        <v>0</v>
      </c>
      <c r="D62" s="83">
        <f>'Planejamento Financeiro'!D64+'Planejamento Financeiro'!G64+'Planejamento Financeiro'!J64+'Planejamento Financeiro'!M64+'Planejamento Financeiro'!P64+'Planejamento Financeiro'!S64+'Planejamento Financeiro'!V64+'Planejamento Financeiro'!Y64+'Planejamento Financeiro'!AB64+'Planejamento Financeiro'!AE64+'Planejamento Financeiro'!AH64+'Planejamento Financeiro'!AK64</f>
        <v>0</v>
      </c>
      <c r="E62" s="156">
        <f t="shared" si="10"/>
        <v>0</v>
      </c>
    </row>
    <row r="63" spans="2:5" s="130" customFormat="1" ht="15.75" hidden="1" outlineLevel="1" x14ac:dyDescent="0.25">
      <c r="B63" s="157" t="s">
        <v>20</v>
      </c>
      <c r="C63" s="83">
        <f>'Planejamento Financeiro'!C65+'Planejamento Financeiro'!F65+'Planejamento Financeiro'!I65+'Planejamento Financeiro'!L65+'Planejamento Financeiro'!O65+'Planejamento Financeiro'!R65+'Planejamento Financeiro'!U65+'Planejamento Financeiro'!X65+'Planejamento Financeiro'!AA65+'Planejamento Financeiro'!AD65+'Planejamento Financeiro'!AG65+'Planejamento Financeiro'!AJ65</f>
        <v>0</v>
      </c>
      <c r="D63" s="83">
        <f>'Planejamento Financeiro'!D65+'Planejamento Financeiro'!G65+'Planejamento Financeiro'!J65+'Planejamento Financeiro'!M65+'Planejamento Financeiro'!P65+'Planejamento Financeiro'!S65+'Planejamento Financeiro'!V65+'Planejamento Financeiro'!Y65+'Planejamento Financeiro'!AB65+'Planejamento Financeiro'!AE65+'Planejamento Financeiro'!AH65+'Planejamento Financeiro'!AK65</f>
        <v>0</v>
      </c>
      <c r="E63" s="156">
        <f t="shared" si="10"/>
        <v>0</v>
      </c>
    </row>
    <row r="64" spans="2:5" s="130" customFormat="1" ht="15.75" hidden="1" outlineLevel="1" x14ac:dyDescent="0.25">
      <c r="B64" s="157" t="s">
        <v>21</v>
      </c>
      <c r="C64" s="83">
        <f>'Planejamento Financeiro'!C66+'Planejamento Financeiro'!F66+'Planejamento Financeiro'!I66+'Planejamento Financeiro'!L66+'Planejamento Financeiro'!O66+'Planejamento Financeiro'!R66+'Planejamento Financeiro'!U66+'Planejamento Financeiro'!X66+'Planejamento Financeiro'!AA66+'Planejamento Financeiro'!AD66+'Planejamento Financeiro'!AG66+'Planejamento Financeiro'!AJ66</f>
        <v>0</v>
      </c>
      <c r="D64" s="83">
        <f>'Planejamento Financeiro'!D66+'Planejamento Financeiro'!G66+'Planejamento Financeiro'!J66+'Planejamento Financeiro'!M66+'Planejamento Financeiro'!P66+'Planejamento Financeiro'!S66+'Planejamento Financeiro'!V66+'Planejamento Financeiro'!Y66+'Planejamento Financeiro'!AB66+'Planejamento Financeiro'!AE66+'Planejamento Financeiro'!AH66+'Planejamento Financeiro'!AK66</f>
        <v>0</v>
      </c>
      <c r="E64" s="156">
        <f t="shared" si="10"/>
        <v>0</v>
      </c>
    </row>
    <row r="65" spans="2:5" s="130" customFormat="1" ht="15.75" hidden="1" outlineLevel="1" x14ac:dyDescent="0.25">
      <c r="B65" s="85"/>
      <c r="C65" s="83">
        <f>'Planejamento Financeiro'!C67+'Planejamento Financeiro'!F67+'Planejamento Financeiro'!I67+'Planejamento Financeiro'!L67+'Planejamento Financeiro'!O67+'Planejamento Financeiro'!R67+'Planejamento Financeiro'!U67+'Planejamento Financeiro'!X67+'Planejamento Financeiro'!AA67+'Planejamento Financeiro'!AD67+'Planejamento Financeiro'!AG67+'Planejamento Financeiro'!AJ67</f>
        <v>0</v>
      </c>
      <c r="D65" s="83">
        <f>'Planejamento Financeiro'!D67+'Planejamento Financeiro'!G67+'Planejamento Financeiro'!J67+'Planejamento Financeiro'!M67+'Planejamento Financeiro'!P67+'Planejamento Financeiro'!S67+'Planejamento Financeiro'!V67+'Planejamento Financeiro'!Y67+'Planejamento Financeiro'!AB67+'Planejamento Financeiro'!AE67+'Planejamento Financeiro'!AH67+'Planejamento Financeiro'!AK67</f>
        <v>0</v>
      </c>
      <c r="E65" s="156">
        <f t="shared" si="10"/>
        <v>0</v>
      </c>
    </row>
    <row r="66" spans="2:5" s="130" customFormat="1" ht="15.75" hidden="1" outlineLevel="1" x14ac:dyDescent="0.25">
      <c r="B66" s="85"/>
      <c r="C66" s="83">
        <f>'Planejamento Financeiro'!C68+'Planejamento Financeiro'!F68+'Planejamento Financeiro'!I68+'Planejamento Financeiro'!L68+'Planejamento Financeiro'!O68+'Planejamento Financeiro'!R68+'Planejamento Financeiro'!U68+'Planejamento Financeiro'!X68+'Planejamento Financeiro'!AA68+'Planejamento Financeiro'!AD68+'Planejamento Financeiro'!AG68+'Planejamento Financeiro'!AJ68</f>
        <v>0</v>
      </c>
      <c r="D66" s="83">
        <f>'Planejamento Financeiro'!D68+'Planejamento Financeiro'!G68+'Planejamento Financeiro'!J68+'Planejamento Financeiro'!M68+'Planejamento Financeiro'!P68+'Planejamento Financeiro'!S68+'Planejamento Financeiro'!V68+'Planejamento Financeiro'!Y68+'Planejamento Financeiro'!AB68+'Planejamento Financeiro'!AE68+'Planejamento Financeiro'!AH68+'Planejamento Financeiro'!AK68</f>
        <v>0</v>
      </c>
      <c r="E66" s="156">
        <f t="shared" si="10"/>
        <v>0</v>
      </c>
    </row>
    <row r="67" spans="2:5" s="130" customFormat="1" ht="15.75" hidden="1" outlineLevel="1" x14ac:dyDescent="0.25">
      <c r="B67" s="85"/>
      <c r="C67" s="83">
        <f>'Planejamento Financeiro'!C69+'Planejamento Financeiro'!F69+'Planejamento Financeiro'!I69+'Planejamento Financeiro'!L69+'Planejamento Financeiro'!O69+'Planejamento Financeiro'!R69+'Planejamento Financeiro'!U69+'Planejamento Financeiro'!X69+'Planejamento Financeiro'!AA69+'Planejamento Financeiro'!AD69+'Planejamento Financeiro'!AG69+'Planejamento Financeiro'!AJ69</f>
        <v>0</v>
      </c>
      <c r="D67" s="83">
        <f>'Planejamento Financeiro'!D69+'Planejamento Financeiro'!G69+'Planejamento Financeiro'!J69+'Planejamento Financeiro'!M69+'Planejamento Financeiro'!P69+'Planejamento Financeiro'!S69+'Planejamento Financeiro'!V69+'Planejamento Financeiro'!Y69+'Planejamento Financeiro'!AB69+'Planejamento Financeiro'!AE69+'Planejamento Financeiro'!AH69+'Planejamento Financeiro'!AK69</f>
        <v>0</v>
      </c>
      <c r="E67" s="156">
        <f t="shared" si="10"/>
        <v>0</v>
      </c>
    </row>
    <row r="68" spans="2:5" s="130" customFormat="1" ht="15.75" collapsed="1" x14ac:dyDescent="0.25">
      <c r="B68" s="158" t="s">
        <v>62</v>
      </c>
      <c r="C68" s="154">
        <f>SUM(C69:C76)</f>
        <v>0</v>
      </c>
      <c r="D68" s="154">
        <f t="shared" ref="D68:E68" si="11">SUM(D69:D76)</f>
        <v>0</v>
      </c>
      <c r="E68" s="156">
        <f t="shared" si="11"/>
        <v>0</v>
      </c>
    </row>
    <row r="69" spans="2:5" s="130" customFormat="1" ht="15.75" hidden="1" outlineLevel="1" x14ac:dyDescent="0.25">
      <c r="B69" s="157" t="s">
        <v>22</v>
      </c>
      <c r="C69" s="83">
        <f>'Planejamento Financeiro'!C71+'Planejamento Financeiro'!F71+'Planejamento Financeiro'!I71+'Planejamento Financeiro'!L71+'Planejamento Financeiro'!O71+'Planejamento Financeiro'!R71+'Planejamento Financeiro'!U71+'Planejamento Financeiro'!X71+'Planejamento Financeiro'!AA71+'Planejamento Financeiro'!AD71+'Planejamento Financeiro'!AG71+'Planejamento Financeiro'!AJ71</f>
        <v>0</v>
      </c>
      <c r="D69" s="83">
        <f>'Planejamento Financeiro'!D71+'Planejamento Financeiro'!G71+'Planejamento Financeiro'!J71+'Planejamento Financeiro'!M71+'Planejamento Financeiro'!P71+'Planejamento Financeiro'!S71+'Planejamento Financeiro'!V71+'Planejamento Financeiro'!Y71+'Planejamento Financeiro'!AB71+'Planejamento Financeiro'!AE71+'Planejamento Financeiro'!AH71+'Planejamento Financeiro'!AK71</f>
        <v>0</v>
      </c>
      <c r="E69" s="156">
        <f t="shared" si="10"/>
        <v>0</v>
      </c>
    </row>
    <row r="70" spans="2:5" s="130" customFormat="1" ht="15.75" hidden="1" outlineLevel="1" x14ac:dyDescent="0.25">
      <c r="B70" s="157" t="s">
        <v>54</v>
      </c>
      <c r="C70" s="83">
        <f>'Planejamento Financeiro'!C72+'Planejamento Financeiro'!F72+'Planejamento Financeiro'!I72+'Planejamento Financeiro'!L72+'Planejamento Financeiro'!O72+'Planejamento Financeiro'!R72+'Planejamento Financeiro'!U72+'Planejamento Financeiro'!X72+'Planejamento Financeiro'!AA72+'Planejamento Financeiro'!AD72+'Planejamento Financeiro'!AG72+'Planejamento Financeiro'!AJ72</f>
        <v>0</v>
      </c>
      <c r="D70" s="83">
        <f>'Planejamento Financeiro'!D72+'Planejamento Financeiro'!G72+'Planejamento Financeiro'!J72+'Planejamento Financeiro'!M72+'Planejamento Financeiro'!P72+'Planejamento Financeiro'!S72+'Planejamento Financeiro'!V72+'Planejamento Financeiro'!Y72+'Planejamento Financeiro'!AB72+'Planejamento Financeiro'!AE72+'Planejamento Financeiro'!AH72+'Planejamento Financeiro'!AK72</f>
        <v>0</v>
      </c>
      <c r="E70" s="156">
        <f t="shared" si="10"/>
        <v>0</v>
      </c>
    </row>
    <row r="71" spans="2:5" s="130" customFormat="1" ht="15.75" hidden="1" outlineLevel="1" x14ac:dyDescent="0.25">
      <c r="B71" s="157" t="s">
        <v>63</v>
      </c>
      <c r="C71" s="83">
        <f>'Planejamento Financeiro'!C73+'Planejamento Financeiro'!F73+'Planejamento Financeiro'!I73+'Planejamento Financeiro'!L73+'Planejamento Financeiro'!O73+'Planejamento Financeiro'!R73+'Planejamento Financeiro'!U73+'Planejamento Financeiro'!X73+'Planejamento Financeiro'!AA73+'Planejamento Financeiro'!AD73+'Planejamento Financeiro'!AG73+'Planejamento Financeiro'!AJ73</f>
        <v>0</v>
      </c>
      <c r="D71" s="83">
        <f>'Planejamento Financeiro'!D73+'Planejamento Financeiro'!G73+'Planejamento Financeiro'!J73+'Planejamento Financeiro'!M73+'Planejamento Financeiro'!P73+'Planejamento Financeiro'!S73+'Planejamento Financeiro'!V73+'Planejamento Financeiro'!Y73+'Planejamento Financeiro'!AB73+'Planejamento Financeiro'!AE73+'Planejamento Financeiro'!AH73+'Planejamento Financeiro'!AK73</f>
        <v>0</v>
      </c>
      <c r="E71" s="156">
        <f t="shared" si="10"/>
        <v>0</v>
      </c>
    </row>
    <row r="72" spans="2:5" s="130" customFormat="1" ht="15.75" hidden="1" outlineLevel="1" x14ac:dyDescent="0.25">
      <c r="B72" s="157" t="s">
        <v>64</v>
      </c>
      <c r="C72" s="83">
        <f>'Planejamento Financeiro'!C74+'Planejamento Financeiro'!F74+'Planejamento Financeiro'!I74+'Planejamento Financeiro'!L74+'Planejamento Financeiro'!O74+'Planejamento Financeiro'!R74+'Planejamento Financeiro'!U74+'Planejamento Financeiro'!X74+'Planejamento Financeiro'!AA74+'Planejamento Financeiro'!AD74+'Planejamento Financeiro'!AG74+'Planejamento Financeiro'!AJ74</f>
        <v>0</v>
      </c>
      <c r="D72" s="83">
        <f>'Planejamento Financeiro'!D74+'Planejamento Financeiro'!G74+'Planejamento Financeiro'!J74+'Planejamento Financeiro'!M74+'Planejamento Financeiro'!P74+'Planejamento Financeiro'!S74+'Planejamento Financeiro'!V74+'Planejamento Financeiro'!Y74+'Planejamento Financeiro'!AB74+'Planejamento Financeiro'!AE74+'Planejamento Financeiro'!AH74+'Planejamento Financeiro'!AK74</f>
        <v>0</v>
      </c>
      <c r="E72" s="156">
        <f t="shared" si="10"/>
        <v>0</v>
      </c>
    </row>
    <row r="73" spans="2:5" s="130" customFormat="1" ht="15.75" hidden="1" outlineLevel="1" x14ac:dyDescent="0.25">
      <c r="B73" s="157" t="s">
        <v>65</v>
      </c>
      <c r="C73" s="83">
        <f>'Planejamento Financeiro'!C75+'Planejamento Financeiro'!F75+'Planejamento Financeiro'!I75+'Planejamento Financeiro'!L75+'Planejamento Financeiro'!O75+'Planejamento Financeiro'!R75+'Planejamento Financeiro'!U75+'Planejamento Financeiro'!X75+'Planejamento Financeiro'!AA75+'Planejamento Financeiro'!AD75+'Planejamento Financeiro'!AG75+'Planejamento Financeiro'!AJ75</f>
        <v>0</v>
      </c>
      <c r="D73" s="83">
        <f>'Planejamento Financeiro'!D75+'Planejamento Financeiro'!G75+'Planejamento Financeiro'!J75+'Planejamento Financeiro'!M75+'Planejamento Financeiro'!P75+'Planejamento Financeiro'!S75+'Planejamento Financeiro'!V75+'Planejamento Financeiro'!Y75+'Planejamento Financeiro'!AB75+'Planejamento Financeiro'!AE75+'Planejamento Financeiro'!AH75+'Planejamento Financeiro'!AK75</f>
        <v>0</v>
      </c>
      <c r="E73" s="156">
        <f t="shared" si="10"/>
        <v>0</v>
      </c>
    </row>
    <row r="74" spans="2:5" s="130" customFormat="1" ht="15.75" hidden="1" outlineLevel="1" x14ac:dyDescent="0.25">
      <c r="B74" s="85"/>
      <c r="C74" s="83">
        <f>'Planejamento Financeiro'!C76+'Planejamento Financeiro'!F76+'Planejamento Financeiro'!I76+'Planejamento Financeiro'!L76+'Planejamento Financeiro'!O76+'Planejamento Financeiro'!R76+'Planejamento Financeiro'!U76+'Planejamento Financeiro'!X76+'Planejamento Financeiro'!AA76+'Planejamento Financeiro'!AD76+'Planejamento Financeiro'!AG76+'Planejamento Financeiro'!AJ76</f>
        <v>0</v>
      </c>
      <c r="D74" s="83">
        <f>'Planejamento Financeiro'!D76+'Planejamento Financeiro'!G76+'Planejamento Financeiro'!J76+'Planejamento Financeiro'!M76+'Planejamento Financeiro'!P76+'Planejamento Financeiro'!S76+'Planejamento Financeiro'!V76+'Planejamento Financeiro'!Y76+'Planejamento Financeiro'!AB76+'Planejamento Financeiro'!AE76+'Planejamento Financeiro'!AH76+'Planejamento Financeiro'!AK76</f>
        <v>0</v>
      </c>
      <c r="E74" s="156">
        <f t="shared" si="10"/>
        <v>0</v>
      </c>
    </row>
    <row r="75" spans="2:5" s="130" customFormat="1" ht="15.75" hidden="1" outlineLevel="1" x14ac:dyDescent="0.25">
      <c r="B75" s="85"/>
      <c r="C75" s="83">
        <f>'Planejamento Financeiro'!C77+'Planejamento Financeiro'!F77+'Planejamento Financeiro'!I77+'Planejamento Financeiro'!L77+'Planejamento Financeiro'!O77+'Planejamento Financeiro'!R77+'Planejamento Financeiro'!U77+'Planejamento Financeiro'!X77+'Planejamento Financeiro'!AA77+'Planejamento Financeiro'!AD77+'Planejamento Financeiro'!AG77+'Planejamento Financeiro'!AJ77</f>
        <v>0</v>
      </c>
      <c r="D75" s="83">
        <f>'Planejamento Financeiro'!D77+'Planejamento Financeiro'!G77+'Planejamento Financeiro'!J77+'Planejamento Financeiro'!M77+'Planejamento Financeiro'!P77+'Planejamento Financeiro'!S77+'Planejamento Financeiro'!V77+'Planejamento Financeiro'!Y77+'Planejamento Financeiro'!AB77+'Planejamento Financeiro'!AE77+'Planejamento Financeiro'!AH77+'Planejamento Financeiro'!AK77</f>
        <v>0</v>
      </c>
      <c r="E75" s="156">
        <f t="shared" si="10"/>
        <v>0</v>
      </c>
    </row>
    <row r="76" spans="2:5" s="130" customFormat="1" ht="15.75" hidden="1" outlineLevel="1" x14ac:dyDescent="0.25">
      <c r="B76" s="85"/>
      <c r="C76" s="83">
        <f>'Planejamento Financeiro'!C78+'Planejamento Financeiro'!F78+'Planejamento Financeiro'!I78+'Planejamento Financeiro'!L78+'Planejamento Financeiro'!O78+'Planejamento Financeiro'!R78+'Planejamento Financeiro'!U78+'Planejamento Financeiro'!X78+'Planejamento Financeiro'!AA78+'Planejamento Financeiro'!AD78+'Planejamento Financeiro'!AG78+'Planejamento Financeiro'!AJ78</f>
        <v>0</v>
      </c>
      <c r="D76" s="83">
        <f>'Planejamento Financeiro'!D78+'Planejamento Financeiro'!G78+'Planejamento Financeiro'!J78+'Planejamento Financeiro'!M78+'Planejamento Financeiro'!P78+'Planejamento Financeiro'!S78+'Planejamento Financeiro'!V78+'Planejamento Financeiro'!Y78+'Planejamento Financeiro'!AB78+'Planejamento Financeiro'!AE78+'Planejamento Financeiro'!AH78+'Planejamento Financeiro'!AK78</f>
        <v>0</v>
      </c>
      <c r="E76" s="156">
        <f t="shared" si="10"/>
        <v>0</v>
      </c>
    </row>
    <row r="77" spans="2:5" s="130" customFormat="1" ht="15.75" collapsed="1" x14ac:dyDescent="0.25">
      <c r="B77" s="158" t="s">
        <v>61</v>
      </c>
      <c r="C77" s="154">
        <f>SUM(C78:C83)</f>
        <v>0</v>
      </c>
      <c r="D77" s="154">
        <f t="shared" ref="D77:E77" si="12">SUM(D78:D83)</f>
        <v>0</v>
      </c>
      <c r="E77" s="156">
        <f t="shared" si="12"/>
        <v>0</v>
      </c>
    </row>
    <row r="78" spans="2:5" s="130" customFormat="1" ht="15.75" hidden="1" outlineLevel="1" x14ac:dyDescent="0.25">
      <c r="B78" s="157" t="s">
        <v>23</v>
      </c>
      <c r="C78" s="83">
        <f>'Planejamento Financeiro'!C80+'Planejamento Financeiro'!F80+'Planejamento Financeiro'!I80+'Planejamento Financeiro'!L80+'Planejamento Financeiro'!O80+'Planejamento Financeiro'!R80+'Planejamento Financeiro'!U80+'Planejamento Financeiro'!X80+'Planejamento Financeiro'!AA80+'Planejamento Financeiro'!AD80+'Planejamento Financeiro'!AG80+'Planejamento Financeiro'!AJ80</f>
        <v>0</v>
      </c>
      <c r="D78" s="83">
        <f>'Planejamento Financeiro'!D80+'Planejamento Financeiro'!G80+'Planejamento Financeiro'!J80+'Planejamento Financeiro'!M80+'Planejamento Financeiro'!P80+'Planejamento Financeiro'!S80+'Planejamento Financeiro'!V80+'Planejamento Financeiro'!Y80+'Planejamento Financeiro'!AB80+'Planejamento Financeiro'!AE80+'Planejamento Financeiro'!AH80+'Planejamento Financeiro'!AK80</f>
        <v>0</v>
      </c>
      <c r="E78" s="156">
        <f t="shared" si="10"/>
        <v>0</v>
      </c>
    </row>
    <row r="79" spans="2:5" s="130" customFormat="1" ht="15.75" hidden="1" outlineLevel="1" x14ac:dyDescent="0.25">
      <c r="B79" s="157" t="s">
        <v>24</v>
      </c>
      <c r="C79" s="83">
        <f>'Planejamento Financeiro'!C81+'Planejamento Financeiro'!F81+'Planejamento Financeiro'!I81+'Planejamento Financeiro'!L81+'Planejamento Financeiro'!O81+'Planejamento Financeiro'!R81+'Planejamento Financeiro'!U81+'Planejamento Financeiro'!X81+'Planejamento Financeiro'!AA81+'Planejamento Financeiro'!AD81+'Planejamento Financeiro'!AG81+'Planejamento Financeiro'!AJ81</f>
        <v>0</v>
      </c>
      <c r="D79" s="83">
        <f>'Planejamento Financeiro'!D81+'Planejamento Financeiro'!G81+'Planejamento Financeiro'!J81+'Planejamento Financeiro'!M81+'Planejamento Financeiro'!P81+'Planejamento Financeiro'!S81+'Planejamento Financeiro'!V81+'Planejamento Financeiro'!Y81+'Planejamento Financeiro'!AB81+'Planejamento Financeiro'!AE81+'Planejamento Financeiro'!AH81+'Planejamento Financeiro'!AK81</f>
        <v>0</v>
      </c>
      <c r="E79" s="156">
        <f t="shared" si="10"/>
        <v>0</v>
      </c>
    </row>
    <row r="80" spans="2:5" s="130" customFormat="1" ht="15.75" hidden="1" outlineLevel="1" x14ac:dyDescent="0.25">
      <c r="B80" s="157" t="s">
        <v>25</v>
      </c>
      <c r="C80" s="83">
        <f>'Planejamento Financeiro'!C82+'Planejamento Financeiro'!F82+'Planejamento Financeiro'!I82+'Planejamento Financeiro'!L82+'Planejamento Financeiro'!O82+'Planejamento Financeiro'!R82+'Planejamento Financeiro'!U82+'Planejamento Financeiro'!X82+'Planejamento Financeiro'!AA82+'Planejamento Financeiro'!AD82+'Planejamento Financeiro'!AG82+'Planejamento Financeiro'!AJ82</f>
        <v>0</v>
      </c>
      <c r="D80" s="83">
        <f>'Planejamento Financeiro'!D82+'Planejamento Financeiro'!G82+'Planejamento Financeiro'!J82+'Planejamento Financeiro'!M82+'Planejamento Financeiro'!P82+'Planejamento Financeiro'!S82+'Planejamento Financeiro'!V82+'Planejamento Financeiro'!Y82+'Planejamento Financeiro'!AB82+'Planejamento Financeiro'!AE82+'Planejamento Financeiro'!AH82+'Planejamento Financeiro'!AK82</f>
        <v>0</v>
      </c>
      <c r="E80" s="156">
        <f t="shared" si="10"/>
        <v>0</v>
      </c>
    </row>
    <row r="81" spans="2:5" s="130" customFormat="1" ht="15.75" hidden="1" outlineLevel="1" x14ac:dyDescent="0.25">
      <c r="B81" s="85"/>
      <c r="C81" s="83">
        <f>'Planejamento Financeiro'!C83+'Planejamento Financeiro'!F83+'Planejamento Financeiro'!I83+'Planejamento Financeiro'!L83+'Planejamento Financeiro'!O83+'Planejamento Financeiro'!R83+'Planejamento Financeiro'!U83+'Planejamento Financeiro'!X83+'Planejamento Financeiro'!AA83+'Planejamento Financeiro'!AD83+'Planejamento Financeiro'!AG83+'Planejamento Financeiro'!AJ83</f>
        <v>0</v>
      </c>
      <c r="D81" s="83">
        <f>'Planejamento Financeiro'!D83+'Planejamento Financeiro'!G83+'Planejamento Financeiro'!J83+'Planejamento Financeiro'!M83+'Planejamento Financeiro'!P83+'Planejamento Financeiro'!S83+'Planejamento Financeiro'!V83+'Planejamento Financeiro'!Y83+'Planejamento Financeiro'!AB83+'Planejamento Financeiro'!AE83+'Planejamento Financeiro'!AH83+'Planejamento Financeiro'!AK83</f>
        <v>0</v>
      </c>
      <c r="E81" s="156">
        <f t="shared" si="10"/>
        <v>0</v>
      </c>
    </row>
    <row r="82" spans="2:5" s="130" customFormat="1" ht="15.75" hidden="1" outlineLevel="1" x14ac:dyDescent="0.25">
      <c r="B82" s="85"/>
      <c r="C82" s="83">
        <f>'Planejamento Financeiro'!C84+'Planejamento Financeiro'!F84+'Planejamento Financeiro'!I84+'Planejamento Financeiro'!L84+'Planejamento Financeiro'!O84+'Planejamento Financeiro'!R84+'Planejamento Financeiro'!U84+'Planejamento Financeiro'!X84+'Planejamento Financeiro'!AA84+'Planejamento Financeiro'!AD84+'Planejamento Financeiro'!AG84+'Planejamento Financeiro'!AJ84</f>
        <v>0</v>
      </c>
      <c r="D82" s="83">
        <f>'Planejamento Financeiro'!D84+'Planejamento Financeiro'!G84+'Planejamento Financeiro'!J84+'Planejamento Financeiro'!M84+'Planejamento Financeiro'!P84+'Planejamento Financeiro'!S84+'Planejamento Financeiro'!V84+'Planejamento Financeiro'!Y84+'Planejamento Financeiro'!AB84+'Planejamento Financeiro'!AE84+'Planejamento Financeiro'!AH84+'Planejamento Financeiro'!AK84</f>
        <v>0</v>
      </c>
      <c r="E82" s="156">
        <f t="shared" si="10"/>
        <v>0</v>
      </c>
    </row>
    <row r="83" spans="2:5" s="130" customFormat="1" ht="15.75" hidden="1" outlineLevel="1" x14ac:dyDescent="0.25">
      <c r="B83" s="85"/>
      <c r="C83" s="83">
        <f>'Planejamento Financeiro'!C85+'Planejamento Financeiro'!F85+'Planejamento Financeiro'!I85+'Planejamento Financeiro'!L85+'Planejamento Financeiro'!O85+'Planejamento Financeiro'!R85+'Planejamento Financeiro'!U85+'Planejamento Financeiro'!X85+'Planejamento Financeiro'!AA85+'Planejamento Financeiro'!AD85+'Planejamento Financeiro'!AG85+'Planejamento Financeiro'!AJ85</f>
        <v>0</v>
      </c>
      <c r="D83" s="83">
        <f>'Planejamento Financeiro'!D85+'Planejamento Financeiro'!G85+'Planejamento Financeiro'!J85+'Planejamento Financeiro'!M85+'Planejamento Financeiro'!P85+'Planejamento Financeiro'!S85+'Planejamento Financeiro'!V85+'Planejamento Financeiro'!Y85+'Planejamento Financeiro'!AB85+'Planejamento Financeiro'!AE85+'Planejamento Financeiro'!AH85+'Planejamento Financeiro'!AK85</f>
        <v>0</v>
      </c>
      <c r="E83" s="156">
        <f t="shared" si="10"/>
        <v>0</v>
      </c>
    </row>
    <row r="84" spans="2:5" s="130" customFormat="1" ht="15.75" collapsed="1" x14ac:dyDescent="0.25">
      <c r="B84" s="158" t="s">
        <v>26</v>
      </c>
      <c r="C84" s="154">
        <f>SUM(C85:C89)</f>
        <v>0</v>
      </c>
      <c r="D84" s="154">
        <f t="shared" ref="D84:E84" si="13">SUM(D85:D89)</f>
        <v>0</v>
      </c>
      <c r="E84" s="156">
        <f t="shared" si="13"/>
        <v>0</v>
      </c>
    </row>
    <row r="85" spans="2:5" s="130" customFormat="1" ht="15.75" hidden="1" outlineLevel="1" x14ac:dyDescent="0.25">
      <c r="B85" s="157" t="s">
        <v>59</v>
      </c>
      <c r="C85" s="83">
        <f>'Planejamento Financeiro'!C87+'Planejamento Financeiro'!F87+'Planejamento Financeiro'!I87+'Planejamento Financeiro'!L87+'Planejamento Financeiro'!O87+'Planejamento Financeiro'!R87+'Planejamento Financeiro'!U87+'Planejamento Financeiro'!X87+'Planejamento Financeiro'!AA87+'Planejamento Financeiro'!AD87+'Planejamento Financeiro'!AG87+'Planejamento Financeiro'!AJ87</f>
        <v>0</v>
      </c>
      <c r="D85" s="83">
        <f>'Planejamento Financeiro'!D87+'Planejamento Financeiro'!G87+'Planejamento Financeiro'!J87+'Planejamento Financeiro'!M87+'Planejamento Financeiro'!P87+'Planejamento Financeiro'!S87+'Planejamento Financeiro'!V87+'Planejamento Financeiro'!Y87+'Planejamento Financeiro'!AB87+'Planejamento Financeiro'!AE87+'Planejamento Financeiro'!AH87+'Planejamento Financeiro'!AK87</f>
        <v>0</v>
      </c>
      <c r="E85" s="156">
        <f t="shared" si="10"/>
        <v>0</v>
      </c>
    </row>
    <row r="86" spans="2:5" s="130" customFormat="1" ht="15.75" hidden="1" outlineLevel="1" x14ac:dyDescent="0.25">
      <c r="B86" s="157" t="s">
        <v>60</v>
      </c>
      <c r="C86" s="83">
        <f>'Planejamento Financeiro'!C88+'Planejamento Financeiro'!F88+'Planejamento Financeiro'!I88+'Planejamento Financeiro'!L88+'Planejamento Financeiro'!O88+'Planejamento Financeiro'!R88+'Planejamento Financeiro'!U88+'Planejamento Financeiro'!X88+'Planejamento Financeiro'!AA88+'Planejamento Financeiro'!AD88+'Planejamento Financeiro'!AG88+'Planejamento Financeiro'!AJ88</f>
        <v>0</v>
      </c>
      <c r="D86" s="83">
        <f>'Planejamento Financeiro'!D88+'Planejamento Financeiro'!G88+'Planejamento Financeiro'!J88+'Planejamento Financeiro'!M88+'Planejamento Financeiro'!P88+'Planejamento Financeiro'!S88+'Planejamento Financeiro'!V88+'Planejamento Financeiro'!Y88+'Planejamento Financeiro'!AB88+'Planejamento Financeiro'!AE88+'Planejamento Financeiro'!AH88+'Planejamento Financeiro'!AK88</f>
        <v>0</v>
      </c>
      <c r="E86" s="156">
        <f t="shared" si="10"/>
        <v>0</v>
      </c>
    </row>
    <row r="87" spans="2:5" s="130" customFormat="1" ht="15.75" hidden="1" outlineLevel="1" x14ac:dyDescent="0.25">
      <c r="B87" s="85"/>
      <c r="C87" s="83">
        <f>'Planejamento Financeiro'!C89+'Planejamento Financeiro'!F89+'Planejamento Financeiro'!I89+'Planejamento Financeiro'!L89+'Planejamento Financeiro'!O89+'Planejamento Financeiro'!R89+'Planejamento Financeiro'!U89+'Planejamento Financeiro'!X89+'Planejamento Financeiro'!AA89+'Planejamento Financeiro'!AD89+'Planejamento Financeiro'!AG89+'Planejamento Financeiro'!AJ89</f>
        <v>0</v>
      </c>
      <c r="D87" s="83">
        <f>'Planejamento Financeiro'!D89+'Planejamento Financeiro'!G89+'Planejamento Financeiro'!J89+'Planejamento Financeiro'!M89+'Planejamento Financeiro'!P89+'Planejamento Financeiro'!S89+'Planejamento Financeiro'!V89+'Planejamento Financeiro'!Y89+'Planejamento Financeiro'!AB89+'Planejamento Financeiro'!AE89+'Planejamento Financeiro'!AH89+'Planejamento Financeiro'!AK89</f>
        <v>0</v>
      </c>
      <c r="E87" s="156">
        <f t="shared" si="10"/>
        <v>0</v>
      </c>
    </row>
    <row r="88" spans="2:5" s="130" customFormat="1" ht="15.75" hidden="1" outlineLevel="1" x14ac:dyDescent="0.25">
      <c r="B88" s="85"/>
      <c r="C88" s="83">
        <f>'Planejamento Financeiro'!C90+'Planejamento Financeiro'!F90+'Planejamento Financeiro'!I90+'Planejamento Financeiro'!L90+'Planejamento Financeiro'!O90+'Planejamento Financeiro'!R90+'Planejamento Financeiro'!U90+'Planejamento Financeiro'!X90+'Planejamento Financeiro'!AA90+'Planejamento Financeiro'!AD90+'Planejamento Financeiro'!AG90+'Planejamento Financeiro'!AJ90</f>
        <v>0</v>
      </c>
      <c r="D88" s="83">
        <f>'Planejamento Financeiro'!D90+'Planejamento Financeiro'!G90+'Planejamento Financeiro'!J90+'Planejamento Financeiro'!M90+'Planejamento Financeiro'!P90+'Planejamento Financeiro'!S90+'Planejamento Financeiro'!V90+'Planejamento Financeiro'!Y90+'Planejamento Financeiro'!AB90+'Planejamento Financeiro'!AE90+'Planejamento Financeiro'!AH90+'Planejamento Financeiro'!AK90</f>
        <v>0</v>
      </c>
      <c r="E88" s="156">
        <f t="shared" si="10"/>
        <v>0</v>
      </c>
    </row>
    <row r="89" spans="2:5" s="130" customFormat="1" ht="15.75" hidden="1" outlineLevel="1" x14ac:dyDescent="0.25">
      <c r="B89" s="85"/>
      <c r="C89" s="83">
        <f>'Planejamento Financeiro'!C91+'Planejamento Financeiro'!F91+'Planejamento Financeiro'!I91+'Planejamento Financeiro'!L91+'Planejamento Financeiro'!O91+'Planejamento Financeiro'!R91+'Planejamento Financeiro'!U91+'Planejamento Financeiro'!X91+'Planejamento Financeiro'!AA91+'Planejamento Financeiro'!AD91+'Planejamento Financeiro'!AG91+'Planejamento Financeiro'!AJ91</f>
        <v>0</v>
      </c>
      <c r="D89" s="83">
        <f>'Planejamento Financeiro'!D91+'Planejamento Financeiro'!G91+'Planejamento Financeiro'!J91+'Planejamento Financeiro'!M91+'Planejamento Financeiro'!P91+'Planejamento Financeiro'!S91+'Planejamento Financeiro'!V91+'Planejamento Financeiro'!Y91+'Planejamento Financeiro'!AB91+'Planejamento Financeiro'!AE91+'Planejamento Financeiro'!AH91+'Planejamento Financeiro'!AK91</f>
        <v>0</v>
      </c>
      <c r="E89" s="156">
        <f t="shared" si="10"/>
        <v>0</v>
      </c>
    </row>
    <row r="90" spans="2:5" s="130" customFormat="1" ht="15.75" collapsed="1" x14ac:dyDescent="0.25">
      <c r="B90" s="158" t="s">
        <v>27</v>
      </c>
      <c r="C90" s="154">
        <f>SUM(C91:C91)</f>
        <v>0</v>
      </c>
      <c r="D90" s="154">
        <f t="shared" ref="D90:E90" si="14">SUM(D91:D91)</f>
        <v>0</v>
      </c>
      <c r="E90" s="156">
        <f t="shared" si="14"/>
        <v>0</v>
      </c>
    </row>
    <row r="91" spans="2:5" s="130" customFormat="1" ht="15.75" hidden="1" outlineLevel="1" x14ac:dyDescent="0.25">
      <c r="B91" s="152" t="s">
        <v>28</v>
      </c>
      <c r="C91" s="83">
        <f>'Planejamento Financeiro'!C93+'Planejamento Financeiro'!F93+'Planejamento Financeiro'!I93+'Planejamento Financeiro'!L93+'Planejamento Financeiro'!O93+'Planejamento Financeiro'!R93+'Planejamento Financeiro'!U93+'Planejamento Financeiro'!X93+'Planejamento Financeiro'!AA93+'Planejamento Financeiro'!AD93+'Planejamento Financeiro'!AG93+'Planejamento Financeiro'!AJ93</f>
        <v>0</v>
      </c>
      <c r="D91" s="83">
        <f>'Planejamento Financeiro'!D93+'Planejamento Financeiro'!G93+'Planejamento Financeiro'!J93+'Planejamento Financeiro'!M93+'Planejamento Financeiro'!P93+'Planejamento Financeiro'!S93+'Planejamento Financeiro'!V93+'Planejamento Financeiro'!Y93+'Planejamento Financeiro'!AB93+'Planejamento Financeiro'!AE93+'Planejamento Financeiro'!AH93+'Planejamento Financeiro'!AK93</f>
        <v>0</v>
      </c>
      <c r="E91" s="138">
        <f t="shared" si="10"/>
        <v>0</v>
      </c>
    </row>
    <row r="92" spans="2:5" s="130" customFormat="1" ht="15.75" collapsed="1" x14ac:dyDescent="0.25">
      <c r="B92" s="142" t="s">
        <v>43</v>
      </c>
      <c r="C92" s="143">
        <f t="shared" ref="C92:E92" si="15">C26+C37+C48+C59+C68+C77+C84+C90</f>
        <v>0</v>
      </c>
      <c r="D92" s="143">
        <f t="shared" si="15"/>
        <v>0</v>
      </c>
      <c r="E92" s="144">
        <f t="shared" si="15"/>
        <v>0</v>
      </c>
    </row>
    <row r="93" spans="2:5" s="147" customFormat="1" ht="7.5" customHeight="1" x14ac:dyDescent="0.25">
      <c r="B93" s="159"/>
      <c r="C93" s="160"/>
      <c r="D93" s="160"/>
      <c r="E93" s="160"/>
    </row>
    <row r="94" spans="2:5" s="130" customFormat="1" ht="15.75" x14ac:dyDescent="0.25">
      <c r="B94" s="216" t="s">
        <v>46</v>
      </c>
      <c r="C94" s="217">
        <f t="shared" ref="C94:E94" si="16">C19-C23-C92</f>
        <v>0</v>
      </c>
      <c r="D94" s="217">
        <f t="shared" si="16"/>
        <v>0</v>
      </c>
      <c r="E94" s="218">
        <f t="shared" si="16"/>
        <v>0</v>
      </c>
    </row>
    <row r="95" spans="2:5" ht="7.5" customHeight="1" x14ac:dyDescent="0.25"/>
    <row r="96" spans="2:5" x14ac:dyDescent="0.25">
      <c r="C96" s="161"/>
    </row>
  </sheetData>
  <sheetProtection formatColumns="0" formatRows="0" insertColumns="0" insertRows="0"/>
  <mergeCells count="1">
    <mergeCell ref="B3:B6"/>
  </mergeCells>
  <pageMargins left="0.51181102362204722" right="0.51181102362204722" top="0.78740157480314965" bottom="0.78740157480314965" header="0.31496062992125984" footer="0.31496062992125984"/>
  <pageSetup paperSize="9" orientation="portrait" r:id="rId1"/>
  <headerFooter>
    <oddFooter>&amp;C&amp;"calibri,Regular"&amp;10Classificação da Informação: &amp;"calibri,Bold"Uso Irrestrito_x000D_&amp;1#&amp;"Calibri"&amp;10 Classificação da informação: Uso Interno</oddFooter>
    <evenFooter>&amp;C&amp;"calibri,Regular"&amp;10Classificação da Informação: &amp;"calibri,Bold"Uso Irrestrito</evenFooter>
    <firstFooter>&amp;C&amp;"calibri,Regular"&amp;10Classificação da Informação: &amp;"calibri,Bold"Uso Irrestrito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2" r:id="rId4" name="Button 6">
              <controlPr defaultSize="0" print="0" autoFill="0" autoPict="0" macro="[0]!Macro2">
                <anchor moveWithCells="1" sizeWithCells="1">
                  <from>
                    <xdr:col>1</xdr:col>
                    <xdr:colOff>95250</xdr:colOff>
                    <xdr:row>8</xdr:row>
                    <xdr:rowOff>38100</xdr:rowOff>
                  </from>
                  <to>
                    <xdr:col>1</xdr:col>
                    <xdr:colOff>904875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5" name="Button 7">
              <controlPr defaultSize="0" print="0" autoFill="0" autoPict="0" macro="[0]!Macro1">
                <anchor moveWithCells="1" sizeWithCells="1">
                  <from>
                    <xdr:col>1</xdr:col>
                    <xdr:colOff>1200150</xdr:colOff>
                    <xdr:row>8</xdr:row>
                    <xdr:rowOff>38100</xdr:rowOff>
                  </from>
                  <to>
                    <xdr:col>1</xdr:col>
                    <xdr:colOff>2009775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3</vt:i4>
      </vt:variant>
    </vt:vector>
  </HeadingPairs>
  <TitlesOfParts>
    <vt:vector size="7" baseType="lpstr">
      <vt:lpstr>Instruções</vt:lpstr>
      <vt:lpstr>Planejamento Financeiro</vt:lpstr>
      <vt:lpstr>Gráfico Despesas Realizadas</vt:lpstr>
      <vt:lpstr>Resumo Anual</vt:lpstr>
      <vt:lpstr>Instruções!Area_de_impressao</vt:lpstr>
      <vt:lpstr>'Planejamento Financeiro'!Area_de_impressao</vt:lpstr>
      <vt:lpstr>'Resumo Anual'!Area_de_impressao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Uso Irrestrito</cp:keywords>
  <cp:lastModifiedBy>Rafaela Fortunato Silva</cp:lastModifiedBy>
  <cp:lastPrinted>2011-06-27T12:18:28Z</cp:lastPrinted>
  <dcterms:created xsi:type="dcterms:W3CDTF">2011-05-23T18:58:31Z</dcterms:created>
  <dcterms:modified xsi:type="dcterms:W3CDTF">2017-04-25T19:30:38Z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d3598c14-ee07-4a06-a586-e9b1dc34275f</vt:lpwstr>
  </property>
  <property fmtid="{D5CDD505-2E9C-101B-9397-08002B2CF9AE}" pid="3" name="SicrediClassificação">
    <vt:lpwstr>Uso Irrestrito</vt:lpwstr>
  </property>
  <property fmtid="{D5CDD505-2E9C-101B-9397-08002B2CF9AE}" pid="4" name="SV_QUERY_LIST_4F35BF76-6C0D-4D9B-82B2-816C12CF3733">
    <vt:lpwstr>empty_477D106A-C0D6-4607-AEBD-E2C9D60EA279</vt:lpwstr>
  </property>
  <property fmtid="{D5CDD505-2E9C-101B-9397-08002B2CF9AE}" pid="5" name="MSIP_Label_99deea41-824f-4c3c-afd5-7afdfc16eee8_Enabled">
    <vt:lpwstr>True</vt:lpwstr>
  </property>
  <property fmtid="{D5CDD505-2E9C-101B-9397-08002B2CF9AE}" pid="6" name="MSIP_Label_99deea41-824f-4c3c-afd5-7afdfc16eee8_SiteId">
    <vt:lpwstr>3223964c-6e1f-48ba-b705-423351281a8c</vt:lpwstr>
  </property>
  <property fmtid="{D5CDD505-2E9C-101B-9397-08002B2CF9AE}" pid="7" name="MSIP_Label_99deea41-824f-4c3c-afd5-7afdfc16eee8_Ref">
    <vt:lpwstr>https://api.informationprotection.azure.com/api/3223964c-6e1f-48ba-b705-423351281a8c</vt:lpwstr>
  </property>
  <property fmtid="{D5CDD505-2E9C-101B-9397-08002B2CF9AE}" pid="8" name="MSIP_Label_99deea41-824f-4c3c-afd5-7afdfc16eee8_SetBy">
    <vt:lpwstr>rafaela_fortunato@sicredi.com.br</vt:lpwstr>
  </property>
  <property fmtid="{D5CDD505-2E9C-101B-9397-08002B2CF9AE}" pid="9" name="MSIP_Label_99deea41-824f-4c3c-afd5-7afdfc16eee8_SetDate">
    <vt:lpwstr>2017-04-25T10:40:52.8963167-03:00</vt:lpwstr>
  </property>
  <property fmtid="{D5CDD505-2E9C-101B-9397-08002B2CF9AE}" pid="10" name="MSIP_Label_99deea41-824f-4c3c-afd5-7afdfc16eee8_Name">
    <vt:lpwstr>Uso Interno</vt:lpwstr>
  </property>
  <property fmtid="{D5CDD505-2E9C-101B-9397-08002B2CF9AE}" pid="11" name="MSIP_Label_99deea41-824f-4c3c-afd5-7afdfc16eee8_Application">
    <vt:lpwstr>Microsoft Azure Information Protection</vt:lpwstr>
  </property>
  <property fmtid="{D5CDD505-2E9C-101B-9397-08002B2CF9AE}" pid="12" name="MSIP_Label_99deea41-824f-4c3c-afd5-7afdfc16eee8_Extended_MSFT_Method">
    <vt:lpwstr>Automatic</vt:lpwstr>
  </property>
  <property fmtid="{D5CDD505-2E9C-101B-9397-08002B2CF9AE}" pid="13" name="Sensitivity">
    <vt:lpwstr>Uso Interno</vt:lpwstr>
  </property>
</Properties>
</file>